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1.xml" ContentType="application/vnd.ms-excel.person+xml"/>
  <Override PartName="/xl/persons/person6.xml" ContentType="application/vnd.ms-excel.person+xml"/>
  <Override PartName="/xl/persons/person9.xml" ContentType="application/vnd.ms-excel.person+xml"/>
  <Override PartName="/xl/persons/person0.xml" ContentType="application/vnd.ms-excel.person+xml"/>
  <Override PartName="/xl/persons/person5.xml" ContentType="application/vnd.ms-excel.person+xml"/>
  <Override PartName="/xl/persons/person.xml" ContentType="application/vnd.ms-excel.person+xml"/>
  <Override PartName="/xl/persons/person4.xml" ContentType="application/vnd.ms-excel.person+xml"/>
  <Override PartName="/xl/persons/person8.xml" ContentType="application/vnd.ms-excel.person+xml"/>
  <Override PartName="/xl/persons/person12.xml" ContentType="application/vnd.ms-excel.person+xml"/>
  <Override PartName="/xl/persons/person3.xml" ContentType="application/vnd.ms-excel.person+xml"/>
  <Override PartName="/xl/persons/person11.xml" ContentType="application/vnd.ms-excel.person+xml"/>
  <Override PartName="/xl/persons/person10.xml" ContentType="application/vnd.ms-excel.person+xml"/>
  <Override PartName="/xl/persons/person2.xml" ContentType="application/vnd.ms-excel.person+xml"/>
  <Override PartName="/xl/persons/person7.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חוברת_עבודה_זו"/>
  <mc:AlternateContent xmlns:mc="http://schemas.openxmlformats.org/markup-compatibility/2006">
    <mc:Choice Requires="x15">
      <x15ac:absPath xmlns:x15ac="http://schemas.microsoft.com/office/spreadsheetml/2010/11/ac" url="https://d.docs.live.net/a24645c8f19accc7/מסמכים/כדורסל/"/>
    </mc:Choice>
  </mc:AlternateContent>
  <xr:revisionPtr revIDLastSave="50" documentId="8_{734D00C4-8A1E-490A-9133-FCF383E26D42}" xr6:coauthVersionLast="47" xr6:coauthVersionMax="47" xr10:uidLastSave="{81986746-ABD7-45F0-841B-0846B071FF76}"/>
  <bookViews>
    <workbookView xWindow="-110" yWindow="-110" windowWidth="19420" windowHeight="10300" xr2:uid="{3BF63B61-5978-4D4B-8E28-9A72360A18AA}"/>
  </bookViews>
  <sheets>
    <sheet name="גיליון1" sheetId="6" r:id="rId1"/>
    <sheet name="גיליון2" sheetId="3" r:id="rId2"/>
    <sheet name="גיליון 3" sheetId="5" r:id="rId3"/>
  </sheets>
  <externalReferences>
    <externalReference r:id="rId4"/>
  </externalReferences>
  <definedNames>
    <definedName name="_xlnm._FilterDatabase" localSheetId="1" hidden="1">גיליון2!$AH$39:$AH$46</definedName>
    <definedName name="Minutes">[1]גיליון2!$B$3:$CB$7</definedName>
    <definedName name="בדיקה" localSheetId="0">OFFSET(גיליון1!$D$2,1,0,COUNTA(גיליון1!$A:$A)-3,1)</definedName>
    <definedName name="בדיקה">OFFSET(#REF!,1,0,COUNTA(#REF!)-3,1)</definedName>
    <definedName name="הסתר" localSheetId="0">גיליון1!$AH:$AI,גיליון1!$AA:$AC,גיליון1!$AK:$AL</definedName>
    <definedName name="הסתר">#REF!,#REF!,#REF!</definedName>
    <definedName name="חדש" localSheetId="0">OFFSET(גיליון1!$L$2,1,0,COUNTA(גיליון1!$A:$A)-4,1),OFFSET(גיליון1!$P$2,1,0,COUNTA(גיליון1!$A:$A)-4,1),OFFSET(גיליון1!$Q$2,1,0,COUNTA(גיליון1!$A:$A)-4,1),OFFSET(גיליון1!$S$2,1,0,COUNTA(גיליון1!$A:$A)-4,1),OFFSET(גיליון1!$T$2,1,0,COUNTA(גיליון1!$A:$A)-4,1),OFFSET(גיליון1!$U$2,1,0,COUNTA(גיליון1!$A:$A)-4,1),OFFSET(גיליון1!$V$2,1,0,COUNTA(גיליון1!$A:$A)-4,1),OFFSET(גיליון1!$W$2,1,0,COUNTA(גיליון1!$A:$A)-4,1),OFFSET(גיליון1!$X$2,1,0,COUNTA(גיליון1!$A:$A)-4,1),OFFSET(גיליון1!$Y$2,1,0,COUNTA(גיליון1!$A:$A)-4,1),OFFSET(גיליון1!$AA$2,1,0,COUNTA(גיליון1!$A:$A)-4,1),OFFSET(גיליון1!$AB$2,1,0,COUNTA(גיליון1!$A:$A)-4,1),OFFSET(גיליון1!$AC$2,1,0,COUNTA(גיליון1!$A:$A)-4,1),OFFSET(גיליון1!$AH$2,1,0,COUNTA(גיליון1!$A:$A)-4,1),OFFSET(גיליון1!$AK$2,1,0,COUNTA(גיליון1!$A:$A)-4,1),OFFSET(גיליון1!$AL$2,1,0,COUNTA(גיליון1!$A:$A)-4,1),OFFSET(גיליון1!$AO$2,1,0,COUNTA(גיליון1!$A:$A)-4,1),גיליון1!$B$19,גיליון1!$D$19,גיליון1!$H$19,גיליון1!$L$19,גיליון1!$P$19,גיליון1!$Q$19,גיליון1!$S$19,גיליון1!$T$19,גיליון1!$U$19,גיליון1!$Y$19,גיליון1!$AA$19,גיליון1!$AB$19,גיליון1!$AC$19,גיליון1!$P$15,גיליון1!$Q$15,גיליון1!$T$15,גיליון1!$Y$15,גיליון1!$L$20,גיליון1!$O$20,גיליון1!$P$21,גיליון1!$Q$21,גיליון1!$L$21</definedName>
    <definedName name="חדש">OFFSET(#REF!,1,0,COUNTA(#REF!)-4,1),OFFSET(#REF!,1,0,COUNTA(#REF!)-4,1),OFFSET(#REF!,1,0,COUNTA(#REF!)-4,1),OFFSET(#REF!,1,0,COUNTA(#REF!)-4,1),OFFSET(#REF!,1,0,COUNTA(#REF!)-4,1),OFFSET(#REF!,1,0,COUNTA(#REF!)-4,1),OFFSET(#REF!,1,0,COUNTA(#REF!)-4,1),OFFSET(#REF!,1,0,COUNTA(#REF!)-4,1),OFFSET(#REF!,1,0,COUNTA(#REF!)-4,1),OFFSET(#REF!,1,0,COUNTA(#REF!)-4,1),OFFSET(#REF!,1,0,COUNTA(#REF!)-4,1),OFFSET(#REF!,1,0,COUNTA(#REF!)-4,1),OFFSET(#REF!,1,0,COUNTA(#REF!)-4,1),OFFSET(#REF!,1,0,COUNTA(#REF!)-4,1),OFFSET(#REF!,1,0,COUNTA(#REF!)-4,1),OFFSET(#REF!,1,0,COUNTA(#REF!)-4,1),OFFSET(#REF!,1,0,COUNTA(#REF!)-4,1),OFFSET(#REF!,1,0,COUNTA(#REF!)-4,1),OFFSET(#REF!,1,0,COUNTA(#REF!)-4,1),#REF!,#REF!,#REF!,#REF!,#REF!,#REF!,#REF!,#REF!,#REF!,#REF!,#REF!,#REF!,#REF!,#REF!,#REF!,#REF!,#REF!,#REF!,#REF!,#REF!,#REF!,#REF!</definedName>
    <definedName name="חלוקה" localSheetId="2">[1]גיליון2!$B$3:$B$7,[1]גיליון2!$D$3:$D$7,[1]גיליון2!$F$3:$F$7,[1]גיליון2!$H$3:$H$7,[1]גיליון2!$J$3:$J$7,[1]גיליון2!$L$3:$L$7,[1]גיליון2!$N$3:$N$7,[1]גיליון2!$P$3:$P$7,[1]גיליון2!$R$3:$R$7,[1]גיליון2!$T$3:$T$7,[1]גיליון2!$V$3:$V$7,[1]גיליון2!$X$3:$X$7,[1]גיליון2!$Z$3:$Z$7,[1]גיליון2!$AB$3:$AB$7,[1]גיליון2!$AD$3:$AD$7,[1]גיליון2!$AF$3:$AF$7,[1]גיליון2!$AH$3:$AH$7,[1]גיליון2!$AJ$3:$AJ$7,[1]גיליון2!$AL$3:$AL$7,[1]גיליון2!$AN$3:$AN$7,[1]גיליון2!$AP$3:$AP$7,[1]גיליון2!$AR$3:$AR$7,[1]גיליון2!$AT$3:$AT$7,[1]גיליון2!$AV$3:$AV$7,[1]גיליון2!$AX$3:$AX$7,[1]גיליון2!$AZ$3:$AZ$7,[1]גיליון2!$BB$3:$BB$7,[1]גיליון2!$BD$3:$BD$7,[1]גיליון2!$BF$3:$BF$7,[1]גיליון2!$BH$3:$BH$7,[1]גיליון2!$BJ$3:$BJ$7,[1]גיליון2!$BL$3:$BL$7,[1]גיליון2!$BN$3:$BN$7,[1]גיליון2!$BP$3:$BP$7,[1]גיליון2!$BR$3:$BR$7,[1]גיליון2!$BT$3:$BT$7,[1]גיליון2!$BV$3:$BV$7,[1]גיליון2!$BX$3:$BX$7,[1]גיליון2!$BZ$3:$BZ$7,[1]גיליון2!$CB$3:$CB$7</definedName>
    <definedName name="חלוקה">גיליון2!$B$3:$B$7,גיליון2!$D$3:$D$7,גיליון2!$F$3:$F$7,גיליון2!$H$3:$H$7,גיליון2!$J$3:$J$7,גיליון2!$L$3:$L$7,גיליון2!$N$3:$N$7,גיליון2!$P$3:$P$7,גיליון2!$R$3:$R$7,גיליון2!$T$3:$T$7,גיליון2!$V$3:$V$7,גיליון2!$X$3:$X$7,גיליון2!$Z$3:$Z$7,גיליון2!$AB$3:$AB$7,גיליון2!$AD$3:$AD$7,גיליון2!$AF$3:$AF$7,גיליון2!$AH$3:$AH$7,גיליון2!$AJ$3:$AJ$7,גיליון2!$AL$3:$AL$7,גיליון2!$AN$3:$AN$7,גיליון2!$AP$3:$AP$7,גיליון2!$AR$3:$AR$7,גיליון2!$AT$3:$AT$7,גיליון2!$AV$3:$AV$7,גיליון2!$AX$3:$AX$7,גיליון2!$AZ$3:$AZ$7,גיליון2!$BB$3:$BB$7,גיליון2!$BD$3:$BD$7,גיליון2!$BF$3:$BF$7,גיליון2!$BH$3:$BH$7,גיליון2!$BJ$3:$BJ$7,גיליון2!$BL$3:$BL$7,גיליון2!$BN$3:$BN$7,גיליון2!$BP$3:$BP$7,גיליון2!$BR$3:$BR$7,גיליון2!$BT$3:$BT$7,גיליון2!$BV$3:$BV$7,גיליון2!$BX$3:$BX$7,גיליון2!$BZ$3:$BZ$7,גיליון2!$CB$3:$CB$7,גיליון2!$CD$3:$CD$7,גיליון2!$CF$3:$CF$7,גיליון2!$CH$3:$CH$7,גיליון2!$CJ$3:$CJ$7,גיליון2!$CL$3:$CL$7,גיליון2!$CN$3:$CN$7,גיליון2!$CP$3:$CP$7,גיליון2!$CR$3:$CR$7,גיליון2!$CT$3:$CT$7,גיליון2!$CV$3:$CV$7,גיליון2!$CX$3:$CX$7,גיליון2!$CZ$3:$CZ$7,גיליון2!$DB$3:$DB$7,גיליון2!$DD$3:$DD$7,גיליון2!$DF$3:$DF$7,גיליון2!$9:$10,גיליון2!$X$26:$AB$48,גיליון2!$N$50:$AB$60</definedName>
    <definedName name="טווחים" localSheetId="2">'גיליון 3'!$A$1:$G$22</definedName>
    <definedName name="להסתיר" localSheetId="0">גיליון1!$E:$F,גיליון1!$I:$J,גיליון1!$M:$N,גיליון1!$AA:$AC,גיליון1!$AE:$AF,גיליון1!$AH:$AI,גיליון1!$AK:$AL</definedName>
    <definedName name="להסתיר">#REF!,#REF!,#REF!,#REF!,#REF!,#REF!,#REF!</definedName>
    <definedName name="נעול" localSheetId="2">[1]גיליון1!$A$1:$AG$2,[1]גיליון1!$A$14:$AG$17,[1]גיליון1!$A$3:$A$13,[1]גיליון1!$C$3:$C$12,[1]גיליון1!$G$3:$G$12,[1]גיליון1!$K$3:$K$12,[1]גיליון1!$O$3:$O$12,[1]גיליון1!$R$3:$R$12,[1]גיליון1!$AD$3:$AD$12,[1]גיליון1!$AG$3:$AG$12</definedName>
    <definedName name="נעול" localSheetId="0">גיליון1!$A$1:$AJ$2,גיליון1!$A$15:$AJ$19,גיליון1!$A$4:$A$14,גיליון1!$C$4:$C$14,גיליון1!$G$4:$G$14,גיליון1!$K$4:$K$14,גיליון1!$O$4:$O$14,גיליון1!$R$4:$R$14,גיליון1!$AG$4:$AG$14,גיליון1!$AJ$4:$AJ$14</definedName>
    <definedName name="נעול">#REF!,#REF!,#REF!,#REF!,#REF!,#REF!,#REF!,#REF!,#REF!,#REF!</definedName>
    <definedName name="נקי" localSheetId="2">[1]גיליון1!$AE$3:$AE$13,[1]גיליון1!$S$3:$X$13,[1]גיליון1!$Z$3:$AC$13,[1]גיליון1!$P$3:$Q$13,[1]גיליון1!$L$3:$L$13,[1]גיליון1!$H$3:$H$13,[1]גיליון1!$D$3:$D$13,[1]גיליון1!$AC$3:$AC$13</definedName>
    <definedName name="נקי" localSheetId="0">OFFSET(גיליון1!$D$2,1,0,COUNTA(גיליון1!$A:$A)-3,1),OFFSET(גיליון1!$H$2,1,0,COUNTA(גיליון1!$A:$A)-3,1),OFFSET(גיליון1!$L$2,1,0,COUNTA(גיליון1!$A:$A)-3,1),OFFSET(גיליון1!$P$2,1,0,COUNTA(גיליון1!$A:$A)-3,2),OFFSET(גיליון1!$S$2,1,0,COUNTA(גיליון1!$A:$A)-3,6),OFFSET(גיליון1!$AA$2,1,0,COUNTA(גיליון1!$A:$A)-3,4),OFFSET(גיליון1!$AH$2,1,0,COUNTA(גיליון1!$A:$A)-3,1),OFFSET(גיליון1!$AO$2,1,0,COUNTA(גיליון1!$A:$A)-3,1)</definedName>
    <definedName name="נקי">OFFSET(#REF!,1,0,COUNTA(#REF!)-3,1),OFFSET(#REF!,1,0,COUNTA(#REF!)-3,1),OFFSET(#REF!,1,0,COUNTA(#REF!)-3,1),OFFSET(#REF!,1,0,COUNTA(#REF!)-3,2),OFFSET(#REF!,1,0,COUNTA(#REF!)-3,6),OFFSET(#REF!,1,0,COUNTA(#REF!)-3,4),OFFSET(#REF!,1,0,COUNTA(#REF!)-3,1),OFFSET(#REF!,1,0,COUNTA(#REF!)-3,1)</definedName>
    <definedName name="צבע" localSheetId="0">גיליון1!$P$20:$Q$20,גיליון1!$AD$16,גיליון1!$AD$19:$AD$20</definedName>
    <definedName name="צבע">#REF!,#REF!,#REF!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4" i="5" l="1"/>
  <c r="L13" i="5"/>
  <c r="L12" i="5"/>
  <c r="L11" i="5"/>
  <c r="L10" i="5"/>
  <c r="L9" i="5"/>
  <c r="L8" i="5"/>
  <c r="L7" i="5"/>
  <c r="L6" i="5"/>
  <c r="L5" i="5"/>
  <c r="L4" i="5"/>
  <c r="L3" i="5"/>
  <c r="L2" i="5"/>
  <c r="L1" i="5"/>
  <c r="K20" i="5"/>
  <c r="J9" i="6" s="1"/>
  <c r="I9" i="6" s="1"/>
  <c r="H9" i="6" s="1"/>
  <c r="K9" i="6" s="1"/>
  <c r="K19" i="5"/>
  <c r="F11" i="6" s="1"/>
  <c r="E11" i="6" s="1"/>
  <c r="D11" i="6" s="1"/>
  <c r="D20" i="6"/>
  <c r="B20" i="6"/>
  <c r="Z19" i="6"/>
  <c r="R19" i="6"/>
  <c r="O19" i="6"/>
  <c r="N19" i="6"/>
  <c r="M19" i="6"/>
  <c r="K19" i="6"/>
  <c r="J19" i="6"/>
  <c r="I19" i="6"/>
  <c r="G19" i="6"/>
  <c r="F19" i="6"/>
  <c r="E19" i="6"/>
  <c r="C19" i="6"/>
  <c r="AL15" i="6"/>
  <c r="AK15" i="6"/>
  <c r="AN14" i="6"/>
  <c r="AM14" i="6"/>
  <c r="Z14" i="6"/>
  <c r="R14" i="6"/>
  <c r="O14" i="6"/>
  <c r="N14" i="6"/>
  <c r="M14" i="6"/>
  <c r="AN13" i="6"/>
  <c r="AM13" i="6"/>
  <c r="Z13" i="6"/>
  <c r="R13" i="6"/>
  <c r="O13" i="6"/>
  <c r="N13" i="6"/>
  <c r="M13" i="6"/>
  <c r="AN12" i="6"/>
  <c r="AM12" i="6"/>
  <c r="Z12" i="6"/>
  <c r="R12" i="6"/>
  <c r="O12" i="6"/>
  <c r="N12" i="6"/>
  <c r="M12" i="6"/>
  <c r="AN11" i="6"/>
  <c r="AM11" i="6"/>
  <c r="Z11" i="6"/>
  <c r="R11" i="6"/>
  <c r="O11" i="6"/>
  <c r="N11" i="6"/>
  <c r="M11" i="6"/>
  <c r="AN10" i="6"/>
  <c r="AM10" i="6"/>
  <c r="Z10" i="6"/>
  <c r="R10" i="6"/>
  <c r="O10" i="6"/>
  <c r="N10" i="6"/>
  <c r="M10" i="6"/>
  <c r="AN9" i="6"/>
  <c r="AM9" i="6"/>
  <c r="Z9" i="6"/>
  <c r="R9" i="6"/>
  <c r="O9" i="6"/>
  <c r="N9" i="6"/>
  <c r="M9" i="6"/>
  <c r="AN8" i="6"/>
  <c r="AM8" i="6"/>
  <c r="Z8" i="6"/>
  <c r="R8" i="6"/>
  <c r="O8" i="6"/>
  <c r="N8" i="6"/>
  <c r="M8" i="6"/>
  <c r="AN7" i="6"/>
  <c r="AM7" i="6"/>
  <c r="Z7" i="6"/>
  <c r="R7" i="6"/>
  <c r="O7" i="6"/>
  <c r="N7" i="6"/>
  <c r="M7" i="6"/>
  <c r="AN6" i="6"/>
  <c r="AM6" i="6"/>
  <c r="Z6" i="6"/>
  <c r="R6" i="6"/>
  <c r="O6" i="6"/>
  <c r="N6" i="6"/>
  <c r="M6" i="6"/>
  <c r="AN5" i="6"/>
  <c r="AM5" i="6"/>
  <c r="Z5" i="6"/>
  <c r="R5" i="6"/>
  <c r="O5" i="6"/>
  <c r="N5" i="6"/>
  <c r="M5" i="6"/>
  <c r="AN4" i="6"/>
  <c r="AM4" i="6"/>
  <c r="Z4" i="6"/>
  <c r="R4" i="6"/>
  <c r="O4" i="6"/>
  <c r="N4" i="6"/>
  <c r="M4" i="6"/>
  <c r="AN3" i="6"/>
  <c r="AM3" i="6"/>
  <c r="Z3" i="6"/>
  <c r="R3" i="6"/>
  <c r="O3" i="6"/>
  <c r="N3" i="6"/>
  <c r="M3" i="6"/>
  <c r="M16" i="6"/>
  <c r="AH17" i="6"/>
  <c r="R16" i="6"/>
  <c r="V16" i="6"/>
  <c r="Q16" i="6"/>
  <c r="T16" i="6"/>
  <c r="S16" i="6"/>
  <c r="Y16" i="6"/>
  <c r="W16" i="6"/>
  <c r="U16" i="6"/>
  <c r="P16" i="6"/>
  <c r="Z16" i="6"/>
  <c r="AA16" i="6"/>
  <c r="N16" i="6"/>
  <c r="J14" i="6" l="1"/>
  <c r="I14" i="6" s="1"/>
  <c r="H14" i="6" s="1"/>
  <c r="K14" i="6" s="1"/>
  <c r="F8" i="6"/>
  <c r="E8" i="6" s="1"/>
  <c r="F9" i="6"/>
  <c r="E9" i="6" s="1"/>
  <c r="D9" i="6" s="1"/>
  <c r="C9" i="6" s="1"/>
  <c r="AG9" i="6" s="1"/>
  <c r="F3" i="6"/>
  <c r="E3" i="6" s="1"/>
  <c r="F6" i="6"/>
  <c r="E6" i="6" s="1"/>
  <c r="D6" i="6" s="1"/>
  <c r="G6" i="6" s="1"/>
  <c r="F13" i="6"/>
  <c r="E13" i="6" s="1"/>
  <c r="D13" i="6" s="1"/>
  <c r="G13" i="6" s="1"/>
  <c r="F5" i="6"/>
  <c r="E5" i="6" s="1"/>
  <c r="D5" i="6" s="1"/>
  <c r="G5" i="6" s="1"/>
  <c r="F14" i="6"/>
  <c r="E14" i="6" s="1"/>
  <c r="D14" i="6" s="1"/>
  <c r="F12" i="6"/>
  <c r="E12" i="6" s="1"/>
  <c r="D12" i="6" s="1"/>
  <c r="G12" i="6" s="1"/>
  <c r="F4" i="6"/>
  <c r="E4" i="6" s="1"/>
  <c r="D4" i="6" s="1"/>
  <c r="G4" i="6" s="1"/>
  <c r="F10" i="6"/>
  <c r="E10" i="6" s="1"/>
  <c r="D10" i="6" s="1"/>
  <c r="G10" i="6" s="1"/>
  <c r="F7" i="6"/>
  <c r="E7" i="6" s="1"/>
  <c r="D7" i="6" s="1"/>
  <c r="G7" i="6" s="1"/>
  <c r="G11" i="6"/>
  <c r="J3" i="6"/>
  <c r="I3" i="6" s="1"/>
  <c r="J8" i="6"/>
  <c r="I8" i="6" s="1"/>
  <c r="H8" i="6" s="1"/>
  <c r="K8" i="6" s="1"/>
  <c r="J7" i="6"/>
  <c r="I7" i="6" s="1"/>
  <c r="H7" i="6" s="1"/>
  <c r="K7" i="6" s="1"/>
  <c r="J13" i="6"/>
  <c r="I13" i="6" s="1"/>
  <c r="J6" i="6"/>
  <c r="I6" i="6" s="1"/>
  <c r="J12" i="6"/>
  <c r="I12" i="6" s="1"/>
  <c r="H12" i="6" s="1"/>
  <c r="J11" i="6"/>
  <c r="I11" i="6" s="1"/>
  <c r="H11" i="6" s="1"/>
  <c r="K11" i="6" s="1"/>
  <c r="J5" i="6"/>
  <c r="I5" i="6" s="1"/>
  <c r="H5" i="6" s="1"/>
  <c r="K5" i="6" s="1"/>
  <c r="J10" i="6"/>
  <c r="I10" i="6" s="1"/>
  <c r="H10" i="6" s="1"/>
  <c r="K10" i="6" s="1"/>
  <c r="J4" i="6"/>
  <c r="I4" i="6" s="1"/>
  <c r="H4" i="6" s="1"/>
  <c r="K4" i="6" s="1"/>
  <c r="W19" i="6"/>
  <c r="V19" i="6"/>
  <c r="AH19" i="6"/>
  <c r="AK17" i="6"/>
  <c r="AK19" i="6"/>
  <c r="AN16" i="6"/>
  <c r="AM19" i="6" s="1"/>
  <c r="X19" i="6"/>
  <c r="AM16" i="6"/>
  <c r="AN19" i="6" s="1"/>
  <c r="Q20" i="6"/>
  <c r="AD19" i="6"/>
  <c r="L16" i="6"/>
  <c r="E16" i="6"/>
  <c r="I16" i="6"/>
  <c r="F16" i="6"/>
  <c r="G16" i="6" s="1"/>
  <c r="J16" i="6"/>
  <c r="O16" i="6"/>
  <c r="X16" i="6"/>
  <c r="K16" i="6"/>
  <c r="H16" i="6"/>
  <c r="D8" i="6" l="1"/>
  <c r="G8" i="6" s="1"/>
  <c r="AI3" i="6"/>
  <c r="AJ3" i="6" s="1"/>
  <c r="H13" i="6"/>
  <c r="K13" i="6" s="1"/>
  <c r="C14" i="6"/>
  <c r="AG14" i="6" s="1"/>
  <c r="AI8" i="6"/>
  <c r="AJ8" i="6" s="1"/>
  <c r="G9" i="6"/>
  <c r="AI5" i="6"/>
  <c r="AJ5" i="6" s="1"/>
  <c r="AI9" i="6"/>
  <c r="AJ9" i="6" s="1"/>
  <c r="AI14" i="6"/>
  <c r="AJ14" i="6" s="1"/>
  <c r="C5" i="6"/>
  <c r="AG5" i="6" s="1"/>
  <c r="D3" i="6"/>
  <c r="G3" i="6" s="1"/>
  <c r="G14" i="6"/>
  <c r="AI12" i="6"/>
  <c r="AJ12" i="6" s="1"/>
  <c r="B21" i="6"/>
  <c r="D21" i="6"/>
  <c r="H6" i="6"/>
  <c r="AI6" i="6"/>
  <c r="AJ6" i="6" s="1"/>
  <c r="AI7" i="6"/>
  <c r="AJ7" i="6" s="1"/>
  <c r="C11" i="6"/>
  <c r="AG11" i="6" s="1"/>
  <c r="AI11" i="6"/>
  <c r="AJ11" i="6" s="1"/>
  <c r="C10" i="6"/>
  <c r="AG10" i="6" s="1"/>
  <c r="C7" i="6"/>
  <c r="AG7" i="6" s="1"/>
  <c r="AI13" i="6"/>
  <c r="AJ13" i="6" s="1"/>
  <c r="C12" i="6"/>
  <c r="AG12" i="6" s="1"/>
  <c r="K12" i="6"/>
  <c r="AI10" i="6"/>
  <c r="AJ10" i="6" s="1"/>
  <c r="AI4" i="6"/>
  <c r="H3" i="6"/>
  <c r="C4" i="6"/>
  <c r="AG4" i="6" s="1"/>
  <c r="P20" i="6"/>
  <c r="AJ19" i="6"/>
  <c r="AI17" i="6"/>
  <c r="D16" i="6"/>
  <c r="C13" i="6" l="1"/>
  <c r="AG13" i="6" s="1"/>
  <c r="C8" i="6"/>
  <c r="AG8" i="6" s="1"/>
  <c r="AJ4" i="6"/>
  <c r="K6" i="6"/>
  <c r="C6" i="6"/>
  <c r="AG6" i="6" s="1"/>
  <c r="K3" i="6"/>
  <c r="C3" i="6"/>
  <c r="S11" i="3"/>
  <c r="T11" i="3"/>
  <c r="U11" i="3"/>
  <c r="V11" i="3"/>
  <c r="W11" i="3"/>
  <c r="X11" i="3"/>
  <c r="Y11" i="3"/>
  <c r="Z11" i="3"/>
  <c r="AA11" i="3"/>
  <c r="AB11" i="3"/>
  <c r="AC11" i="3"/>
  <c r="AD11" i="3"/>
  <c r="AE11" i="3"/>
  <c r="AF11" i="3"/>
  <c r="AG11" i="3"/>
  <c r="AH11" i="3"/>
  <c r="AI11" i="3"/>
  <c r="AJ11" i="3"/>
  <c r="AK11" i="3"/>
  <c r="AL11" i="3"/>
  <c r="AM11" i="3"/>
  <c r="AN11" i="3"/>
  <c r="AO11" i="3"/>
  <c r="AP11" i="3"/>
  <c r="AQ11" i="3"/>
  <c r="AR11" i="3"/>
  <c r="AS11" i="3"/>
  <c r="AT11" i="3"/>
  <c r="AU11" i="3"/>
  <c r="AV11" i="3"/>
  <c r="AW11" i="3"/>
  <c r="AX11" i="3"/>
  <c r="AY11" i="3"/>
  <c r="AZ11" i="3"/>
  <c r="BA11" i="3"/>
  <c r="BB11" i="3"/>
  <c r="BC11" i="3"/>
  <c r="BD11" i="3"/>
  <c r="BE11" i="3"/>
  <c r="BF11" i="3"/>
  <c r="BG11" i="3"/>
  <c r="BH11" i="3"/>
  <c r="BI11" i="3"/>
  <c r="BJ11" i="3"/>
  <c r="BK11" i="3"/>
  <c r="BL11" i="3"/>
  <c r="BM11" i="3"/>
  <c r="BN11" i="3"/>
  <c r="BO11" i="3"/>
  <c r="BP11" i="3"/>
  <c r="BQ11" i="3"/>
  <c r="BR11" i="3"/>
  <c r="BS11" i="3"/>
  <c r="BT11" i="3"/>
  <c r="BU11" i="3"/>
  <c r="BV11" i="3"/>
  <c r="BW11" i="3"/>
  <c r="BX11" i="3"/>
  <c r="BY11" i="3"/>
  <c r="BZ11" i="3"/>
  <c r="CA11" i="3"/>
  <c r="CB11" i="3"/>
  <c r="CC11" i="3"/>
  <c r="CD11" i="3"/>
  <c r="CE11" i="3"/>
  <c r="CF11" i="3"/>
  <c r="CG11" i="3"/>
  <c r="CH11" i="3"/>
  <c r="CI11" i="3"/>
  <c r="CJ11" i="3"/>
  <c r="CK11" i="3"/>
  <c r="CL11" i="3"/>
  <c r="CM11" i="3"/>
  <c r="CN11" i="3"/>
  <c r="CO11" i="3"/>
  <c r="CP11" i="3"/>
  <c r="CQ11" i="3"/>
  <c r="CR11" i="3"/>
  <c r="CS11" i="3"/>
  <c r="CT11" i="3"/>
  <c r="CU11" i="3"/>
  <c r="CV11" i="3"/>
  <c r="CW11" i="3"/>
  <c r="CX11" i="3"/>
  <c r="CY11" i="3"/>
  <c r="CZ11" i="3"/>
  <c r="DA11" i="3"/>
  <c r="DB11" i="3"/>
  <c r="DC11" i="3"/>
  <c r="DD11" i="3"/>
  <c r="DE11" i="3"/>
  <c r="DF11" i="3"/>
  <c r="DG11" i="3"/>
  <c r="S12" i="3"/>
  <c r="T12" i="3"/>
  <c r="U12" i="3"/>
  <c r="V12" i="3"/>
  <c r="W12" i="3"/>
  <c r="X12" i="3"/>
  <c r="Y12" i="3"/>
  <c r="Z12" i="3"/>
  <c r="AA12" i="3"/>
  <c r="AB12" i="3"/>
  <c r="AC12" i="3"/>
  <c r="AD12" i="3"/>
  <c r="AE12" i="3"/>
  <c r="AF12" i="3"/>
  <c r="AG12" i="3"/>
  <c r="AH12" i="3"/>
  <c r="AI12" i="3"/>
  <c r="AJ12" i="3"/>
  <c r="AK12" i="3"/>
  <c r="AL12" i="3"/>
  <c r="AM12" i="3"/>
  <c r="AN12" i="3"/>
  <c r="AO12" i="3"/>
  <c r="AP12" i="3"/>
  <c r="AQ12" i="3"/>
  <c r="AR12" i="3"/>
  <c r="AS12" i="3"/>
  <c r="AT12" i="3"/>
  <c r="AU12" i="3"/>
  <c r="AV12" i="3"/>
  <c r="AW12" i="3"/>
  <c r="AX12" i="3"/>
  <c r="AY12" i="3"/>
  <c r="AZ12" i="3"/>
  <c r="BA12" i="3"/>
  <c r="BB12" i="3"/>
  <c r="BC12" i="3"/>
  <c r="BD12" i="3"/>
  <c r="BE12" i="3"/>
  <c r="BF12" i="3"/>
  <c r="BG12" i="3"/>
  <c r="BH12" i="3"/>
  <c r="BI12" i="3"/>
  <c r="BJ12" i="3"/>
  <c r="BK12" i="3"/>
  <c r="BL12" i="3"/>
  <c r="BM12" i="3"/>
  <c r="BN12" i="3"/>
  <c r="BO12" i="3"/>
  <c r="BP12" i="3"/>
  <c r="BQ12" i="3"/>
  <c r="BR12" i="3"/>
  <c r="BS12" i="3"/>
  <c r="BT12" i="3"/>
  <c r="BU12" i="3"/>
  <c r="BV12" i="3"/>
  <c r="BW12" i="3"/>
  <c r="BX12" i="3"/>
  <c r="BY12" i="3"/>
  <c r="BZ12" i="3"/>
  <c r="CA12" i="3"/>
  <c r="CB12" i="3"/>
  <c r="CC12" i="3"/>
  <c r="CD12" i="3"/>
  <c r="CE12" i="3"/>
  <c r="CF12" i="3"/>
  <c r="CG12" i="3"/>
  <c r="CH12" i="3"/>
  <c r="CI12" i="3"/>
  <c r="CJ12" i="3"/>
  <c r="CK12" i="3"/>
  <c r="CL12" i="3"/>
  <c r="CM12" i="3"/>
  <c r="CN12" i="3"/>
  <c r="CO12" i="3"/>
  <c r="CP12" i="3"/>
  <c r="CQ12" i="3"/>
  <c r="CR12" i="3"/>
  <c r="CS12" i="3"/>
  <c r="CT12" i="3"/>
  <c r="CU12" i="3"/>
  <c r="CV12" i="3"/>
  <c r="CW12" i="3"/>
  <c r="CX12" i="3"/>
  <c r="CY12" i="3"/>
  <c r="CZ12" i="3"/>
  <c r="DA12" i="3"/>
  <c r="DB12" i="3"/>
  <c r="DC12" i="3"/>
  <c r="DD12" i="3"/>
  <c r="DE12" i="3"/>
  <c r="DF12" i="3"/>
  <c r="DG12" i="3"/>
  <c r="S13" i="3"/>
  <c r="T13" i="3"/>
  <c r="U13" i="3"/>
  <c r="V13" i="3"/>
  <c r="W13" i="3"/>
  <c r="X13" i="3"/>
  <c r="Y13" i="3"/>
  <c r="Z13" i="3"/>
  <c r="AA13" i="3"/>
  <c r="AB13" i="3"/>
  <c r="AC13" i="3"/>
  <c r="AD13" i="3"/>
  <c r="AE13" i="3"/>
  <c r="AF13" i="3"/>
  <c r="AG13" i="3"/>
  <c r="AH13" i="3"/>
  <c r="AI13" i="3"/>
  <c r="AJ13" i="3"/>
  <c r="AK13" i="3"/>
  <c r="AL13" i="3"/>
  <c r="AM13" i="3"/>
  <c r="AN13" i="3"/>
  <c r="AO13" i="3"/>
  <c r="AP13" i="3"/>
  <c r="AQ13" i="3"/>
  <c r="AR13" i="3"/>
  <c r="AS13" i="3"/>
  <c r="AT13" i="3"/>
  <c r="AU13" i="3"/>
  <c r="AV13" i="3"/>
  <c r="AW13" i="3"/>
  <c r="AX13" i="3"/>
  <c r="AY13" i="3"/>
  <c r="AZ13" i="3"/>
  <c r="BA13" i="3"/>
  <c r="BB13" i="3"/>
  <c r="BC13" i="3"/>
  <c r="BD13" i="3"/>
  <c r="BE13" i="3"/>
  <c r="BF13" i="3"/>
  <c r="BG13" i="3"/>
  <c r="BH13" i="3"/>
  <c r="BI13" i="3"/>
  <c r="BJ13" i="3"/>
  <c r="BK13" i="3"/>
  <c r="BL13" i="3"/>
  <c r="BM13" i="3"/>
  <c r="BN13" i="3"/>
  <c r="BO13" i="3"/>
  <c r="BP13" i="3"/>
  <c r="BQ13" i="3"/>
  <c r="BR13" i="3"/>
  <c r="BS13" i="3"/>
  <c r="BT13" i="3"/>
  <c r="BU13" i="3"/>
  <c r="BV13" i="3"/>
  <c r="BW13" i="3"/>
  <c r="BX13" i="3"/>
  <c r="BY13" i="3"/>
  <c r="BZ13" i="3"/>
  <c r="CA13" i="3"/>
  <c r="CB13" i="3"/>
  <c r="CC13" i="3"/>
  <c r="CD13" i="3"/>
  <c r="CE13" i="3"/>
  <c r="CF13" i="3"/>
  <c r="CG13" i="3"/>
  <c r="CH13" i="3"/>
  <c r="CI13" i="3"/>
  <c r="CJ13" i="3"/>
  <c r="CK13" i="3"/>
  <c r="CL13" i="3"/>
  <c r="CM13" i="3"/>
  <c r="CN13" i="3"/>
  <c r="CO13" i="3"/>
  <c r="CP13" i="3"/>
  <c r="CQ13" i="3"/>
  <c r="CR13" i="3"/>
  <c r="CS13" i="3"/>
  <c r="CT13" i="3"/>
  <c r="CU13" i="3"/>
  <c r="CV13" i="3"/>
  <c r="CW13" i="3"/>
  <c r="CX13" i="3"/>
  <c r="CY13" i="3"/>
  <c r="CZ13" i="3"/>
  <c r="DA13" i="3"/>
  <c r="DB13" i="3"/>
  <c r="DC13" i="3"/>
  <c r="DD13" i="3"/>
  <c r="DE13" i="3"/>
  <c r="DF13" i="3"/>
  <c r="DG13" i="3"/>
  <c r="S14" i="3"/>
  <c r="T14" i="3"/>
  <c r="U14" i="3"/>
  <c r="V14" i="3"/>
  <c r="W14" i="3"/>
  <c r="X14" i="3"/>
  <c r="Y14" i="3"/>
  <c r="Z14" i="3"/>
  <c r="AA14" i="3"/>
  <c r="AB14" i="3"/>
  <c r="AC14" i="3"/>
  <c r="AD14" i="3"/>
  <c r="AE14" i="3"/>
  <c r="AF14" i="3"/>
  <c r="AG14" i="3"/>
  <c r="AH14" i="3"/>
  <c r="AI14" i="3"/>
  <c r="AJ14" i="3"/>
  <c r="AK14" i="3"/>
  <c r="AL14" i="3"/>
  <c r="AM14" i="3"/>
  <c r="AN14" i="3"/>
  <c r="AO14" i="3"/>
  <c r="AP14" i="3"/>
  <c r="AQ14" i="3"/>
  <c r="AR14" i="3"/>
  <c r="AS14" i="3"/>
  <c r="AT14" i="3"/>
  <c r="AU14" i="3"/>
  <c r="AV14" i="3"/>
  <c r="AW14" i="3"/>
  <c r="AX14" i="3"/>
  <c r="AY14" i="3"/>
  <c r="AZ14" i="3"/>
  <c r="BA14" i="3"/>
  <c r="BB14" i="3"/>
  <c r="BC14" i="3"/>
  <c r="BD14" i="3"/>
  <c r="BE14" i="3"/>
  <c r="BF14" i="3"/>
  <c r="BG14" i="3"/>
  <c r="BH14" i="3"/>
  <c r="BI14" i="3"/>
  <c r="BJ14" i="3"/>
  <c r="BK14" i="3"/>
  <c r="BL14" i="3"/>
  <c r="BM14" i="3"/>
  <c r="BN14" i="3"/>
  <c r="BO14" i="3"/>
  <c r="BP14" i="3"/>
  <c r="BQ14" i="3"/>
  <c r="BR14" i="3"/>
  <c r="BS14" i="3"/>
  <c r="BT14" i="3"/>
  <c r="BU14" i="3"/>
  <c r="BV14" i="3"/>
  <c r="BW14" i="3"/>
  <c r="BX14" i="3"/>
  <c r="BY14" i="3"/>
  <c r="BZ14" i="3"/>
  <c r="CA14" i="3"/>
  <c r="CB14" i="3"/>
  <c r="CC14" i="3"/>
  <c r="CD14" i="3"/>
  <c r="CE14" i="3"/>
  <c r="CF14" i="3"/>
  <c r="CG14" i="3"/>
  <c r="CH14" i="3"/>
  <c r="CI14" i="3"/>
  <c r="CJ14" i="3"/>
  <c r="CK14" i="3"/>
  <c r="CL14" i="3"/>
  <c r="CM14" i="3"/>
  <c r="CN14" i="3"/>
  <c r="CO14" i="3"/>
  <c r="CP14" i="3"/>
  <c r="CQ14" i="3"/>
  <c r="CR14" i="3"/>
  <c r="CS14" i="3"/>
  <c r="CT14" i="3"/>
  <c r="CU14" i="3"/>
  <c r="CV14" i="3"/>
  <c r="CW14" i="3"/>
  <c r="CX14" i="3"/>
  <c r="CY14" i="3"/>
  <c r="CZ14" i="3"/>
  <c r="DA14" i="3"/>
  <c r="DB14" i="3"/>
  <c r="DC14" i="3"/>
  <c r="DD14" i="3"/>
  <c r="DE14" i="3"/>
  <c r="DF14" i="3"/>
  <c r="DG14" i="3"/>
  <c r="S15" i="3"/>
  <c r="T15" i="3"/>
  <c r="U15" i="3"/>
  <c r="V15" i="3"/>
  <c r="W15" i="3"/>
  <c r="X15" i="3"/>
  <c r="Y15" i="3"/>
  <c r="Z15" i="3"/>
  <c r="AA15" i="3"/>
  <c r="AB15" i="3"/>
  <c r="AC15" i="3"/>
  <c r="AD15" i="3"/>
  <c r="AE15" i="3"/>
  <c r="AF15" i="3"/>
  <c r="AG15" i="3"/>
  <c r="AH15" i="3"/>
  <c r="AI15" i="3"/>
  <c r="AJ15" i="3"/>
  <c r="AK15" i="3"/>
  <c r="AL15" i="3"/>
  <c r="AM15" i="3"/>
  <c r="AN15" i="3"/>
  <c r="AO15" i="3"/>
  <c r="AP15" i="3"/>
  <c r="AQ15" i="3"/>
  <c r="AR15" i="3"/>
  <c r="AS15" i="3"/>
  <c r="AT15" i="3"/>
  <c r="AU15" i="3"/>
  <c r="AV15" i="3"/>
  <c r="AW15" i="3"/>
  <c r="AX15" i="3"/>
  <c r="AY15" i="3"/>
  <c r="AZ15" i="3"/>
  <c r="BA15" i="3"/>
  <c r="BB15" i="3"/>
  <c r="BC15" i="3"/>
  <c r="BD15" i="3"/>
  <c r="BE15" i="3"/>
  <c r="BF15" i="3"/>
  <c r="BG15" i="3"/>
  <c r="BH15" i="3"/>
  <c r="BI15" i="3"/>
  <c r="BJ15" i="3"/>
  <c r="BK15" i="3"/>
  <c r="BL15" i="3"/>
  <c r="BM15" i="3"/>
  <c r="BN15" i="3"/>
  <c r="BO15" i="3"/>
  <c r="BP15" i="3"/>
  <c r="BQ15" i="3"/>
  <c r="BR15" i="3"/>
  <c r="BS15" i="3"/>
  <c r="BT15" i="3"/>
  <c r="BU15" i="3"/>
  <c r="BV15" i="3"/>
  <c r="BW15" i="3"/>
  <c r="BX15" i="3"/>
  <c r="BY15" i="3"/>
  <c r="BZ15" i="3"/>
  <c r="CA15" i="3"/>
  <c r="CB15" i="3"/>
  <c r="CC15" i="3"/>
  <c r="CD15" i="3"/>
  <c r="CE15" i="3"/>
  <c r="CF15" i="3"/>
  <c r="CG15" i="3"/>
  <c r="CH15" i="3"/>
  <c r="CI15" i="3"/>
  <c r="CJ15" i="3"/>
  <c r="CK15" i="3"/>
  <c r="CL15" i="3"/>
  <c r="CM15" i="3"/>
  <c r="CN15" i="3"/>
  <c r="CO15" i="3"/>
  <c r="CP15" i="3"/>
  <c r="CQ15" i="3"/>
  <c r="CR15" i="3"/>
  <c r="CS15" i="3"/>
  <c r="CT15" i="3"/>
  <c r="CU15" i="3"/>
  <c r="CV15" i="3"/>
  <c r="CW15" i="3"/>
  <c r="CX15" i="3"/>
  <c r="CY15" i="3"/>
  <c r="CZ15" i="3"/>
  <c r="DA15" i="3"/>
  <c r="DB15" i="3"/>
  <c r="DC15" i="3"/>
  <c r="DD15" i="3"/>
  <c r="DE15" i="3"/>
  <c r="DF15" i="3"/>
  <c r="DG15" i="3"/>
  <c r="S16" i="3"/>
  <c r="T16" i="3"/>
  <c r="U16" i="3"/>
  <c r="V16" i="3"/>
  <c r="W16" i="3"/>
  <c r="X16" i="3"/>
  <c r="Y16" i="3"/>
  <c r="Z16" i="3"/>
  <c r="AA16" i="3"/>
  <c r="AB16" i="3"/>
  <c r="AC16" i="3"/>
  <c r="AD16" i="3"/>
  <c r="AE16" i="3"/>
  <c r="AF16" i="3"/>
  <c r="AG16" i="3"/>
  <c r="AH16" i="3"/>
  <c r="AI16" i="3"/>
  <c r="AJ16" i="3"/>
  <c r="AK16" i="3"/>
  <c r="AL16" i="3"/>
  <c r="AM16" i="3"/>
  <c r="AN16" i="3"/>
  <c r="AO16" i="3"/>
  <c r="AP16" i="3"/>
  <c r="AQ16" i="3"/>
  <c r="AR16" i="3"/>
  <c r="AS16" i="3"/>
  <c r="AT16" i="3"/>
  <c r="AU16" i="3"/>
  <c r="AV16" i="3"/>
  <c r="AW16" i="3"/>
  <c r="AX16" i="3"/>
  <c r="AY16" i="3"/>
  <c r="AZ16" i="3"/>
  <c r="BA16" i="3"/>
  <c r="BB16" i="3"/>
  <c r="BC16" i="3"/>
  <c r="BD16" i="3"/>
  <c r="BE16" i="3"/>
  <c r="BF16" i="3"/>
  <c r="BG16" i="3"/>
  <c r="BH16" i="3"/>
  <c r="BI16" i="3"/>
  <c r="BJ16" i="3"/>
  <c r="BK16" i="3"/>
  <c r="BL16" i="3"/>
  <c r="BM16" i="3"/>
  <c r="BN16" i="3"/>
  <c r="BO16" i="3"/>
  <c r="BP16" i="3"/>
  <c r="BQ16" i="3"/>
  <c r="BR16" i="3"/>
  <c r="BS16" i="3"/>
  <c r="BT16" i="3"/>
  <c r="BU16" i="3"/>
  <c r="BV16" i="3"/>
  <c r="BW16" i="3"/>
  <c r="BX16" i="3"/>
  <c r="BY16" i="3"/>
  <c r="BZ16" i="3"/>
  <c r="CA16" i="3"/>
  <c r="CB16" i="3"/>
  <c r="CC16" i="3"/>
  <c r="CD16" i="3"/>
  <c r="CE16" i="3"/>
  <c r="CF16" i="3"/>
  <c r="CG16" i="3"/>
  <c r="CH16" i="3"/>
  <c r="CI16" i="3"/>
  <c r="CJ16" i="3"/>
  <c r="CK16" i="3"/>
  <c r="CL16" i="3"/>
  <c r="CM16" i="3"/>
  <c r="CN16" i="3"/>
  <c r="CO16" i="3"/>
  <c r="CP16" i="3"/>
  <c r="CQ16" i="3"/>
  <c r="CR16" i="3"/>
  <c r="CS16" i="3"/>
  <c r="CT16" i="3"/>
  <c r="CU16" i="3"/>
  <c r="CV16" i="3"/>
  <c r="CW16" i="3"/>
  <c r="CX16" i="3"/>
  <c r="CY16" i="3"/>
  <c r="CZ16" i="3"/>
  <c r="DA16" i="3"/>
  <c r="DB16" i="3"/>
  <c r="DC16" i="3"/>
  <c r="DD16" i="3"/>
  <c r="DE16" i="3"/>
  <c r="DF16" i="3"/>
  <c r="DG16" i="3"/>
  <c r="S17" i="3"/>
  <c r="T17" i="3"/>
  <c r="U17" i="3"/>
  <c r="V17" i="3"/>
  <c r="W17" i="3"/>
  <c r="X17" i="3"/>
  <c r="Y17" i="3"/>
  <c r="Z17" i="3"/>
  <c r="AA17" i="3"/>
  <c r="AB17" i="3"/>
  <c r="AC17" i="3"/>
  <c r="AD17" i="3"/>
  <c r="AE17" i="3"/>
  <c r="AF17" i="3"/>
  <c r="AG17" i="3"/>
  <c r="AH17" i="3"/>
  <c r="AI17" i="3"/>
  <c r="AJ17" i="3"/>
  <c r="AK17" i="3"/>
  <c r="AL17" i="3"/>
  <c r="AM17" i="3"/>
  <c r="AN17" i="3"/>
  <c r="AO17" i="3"/>
  <c r="AP17" i="3"/>
  <c r="AQ17" i="3"/>
  <c r="AR17" i="3"/>
  <c r="AS17" i="3"/>
  <c r="AT17" i="3"/>
  <c r="AU17" i="3"/>
  <c r="AV17" i="3"/>
  <c r="AW17" i="3"/>
  <c r="AX17" i="3"/>
  <c r="AY17" i="3"/>
  <c r="AZ17" i="3"/>
  <c r="BA17" i="3"/>
  <c r="BB17" i="3"/>
  <c r="BC17" i="3"/>
  <c r="BD17" i="3"/>
  <c r="BE17" i="3"/>
  <c r="BF17" i="3"/>
  <c r="BG17" i="3"/>
  <c r="BH17" i="3"/>
  <c r="BI17" i="3"/>
  <c r="BJ17" i="3"/>
  <c r="BK17" i="3"/>
  <c r="BL17" i="3"/>
  <c r="BM17" i="3"/>
  <c r="BN17" i="3"/>
  <c r="BO17" i="3"/>
  <c r="BP17" i="3"/>
  <c r="BQ17" i="3"/>
  <c r="BR17" i="3"/>
  <c r="BS17" i="3"/>
  <c r="BT17" i="3"/>
  <c r="BU17" i="3"/>
  <c r="BV17" i="3"/>
  <c r="BW17" i="3"/>
  <c r="BX17" i="3"/>
  <c r="BY17" i="3"/>
  <c r="BZ17" i="3"/>
  <c r="CA17" i="3"/>
  <c r="CB17" i="3"/>
  <c r="CC17" i="3"/>
  <c r="CD17" i="3"/>
  <c r="CE17" i="3"/>
  <c r="CF17" i="3"/>
  <c r="CG17" i="3"/>
  <c r="CH17" i="3"/>
  <c r="CI17" i="3"/>
  <c r="CJ17" i="3"/>
  <c r="CK17" i="3"/>
  <c r="CL17" i="3"/>
  <c r="CM17" i="3"/>
  <c r="CN17" i="3"/>
  <c r="CO17" i="3"/>
  <c r="CP17" i="3"/>
  <c r="CQ17" i="3"/>
  <c r="CR17" i="3"/>
  <c r="CS17" i="3"/>
  <c r="CT17" i="3"/>
  <c r="CU17" i="3"/>
  <c r="CV17" i="3"/>
  <c r="CW17" i="3"/>
  <c r="CX17" i="3"/>
  <c r="CY17" i="3"/>
  <c r="CZ17" i="3"/>
  <c r="DA17" i="3"/>
  <c r="DB17" i="3"/>
  <c r="DC17" i="3"/>
  <c r="DD17" i="3"/>
  <c r="DE17" i="3"/>
  <c r="DF17" i="3"/>
  <c r="DG17" i="3"/>
  <c r="S18" i="3"/>
  <c r="T18" i="3"/>
  <c r="U18" i="3"/>
  <c r="V18" i="3"/>
  <c r="W18" i="3"/>
  <c r="X18" i="3"/>
  <c r="Y18" i="3"/>
  <c r="Z18" i="3"/>
  <c r="AA18" i="3"/>
  <c r="AB18" i="3"/>
  <c r="AC18" i="3"/>
  <c r="AD18" i="3"/>
  <c r="AE18" i="3"/>
  <c r="AF18" i="3"/>
  <c r="AG18" i="3"/>
  <c r="AH18" i="3"/>
  <c r="AI18" i="3"/>
  <c r="AJ18" i="3"/>
  <c r="AK18" i="3"/>
  <c r="AL18" i="3"/>
  <c r="AM18" i="3"/>
  <c r="AN18" i="3"/>
  <c r="AO18" i="3"/>
  <c r="AP18" i="3"/>
  <c r="AQ18" i="3"/>
  <c r="AR18" i="3"/>
  <c r="AS18" i="3"/>
  <c r="AT18" i="3"/>
  <c r="AU18" i="3"/>
  <c r="AV18" i="3"/>
  <c r="AW18" i="3"/>
  <c r="AX18" i="3"/>
  <c r="AY18" i="3"/>
  <c r="AZ18" i="3"/>
  <c r="BA18" i="3"/>
  <c r="BB18" i="3"/>
  <c r="BC18" i="3"/>
  <c r="BD18" i="3"/>
  <c r="BE18" i="3"/>
  <c r="BF18" i="3"/>
  <c r="BG18" i="3"/>
  <c r="BH18" i="3"/>
  <c r="BI18" i="3"/>
  <c r="BJ18" i="3"/>
  <c r="BK18" i="3"/>
  <c r="BL18" i="3"/>
  <c r="BM18" i="3"/>
  <c r="BN18" i="3"/>
  <c r="BO18" i="3"/>
  <c r="BP18" i="3"/>
  <c r="BQ18" i="3"/>
  <c r="BR18" i="3"/>
  <c r="BS18" i="3"/>
  <c r="BT18" i="3"/>
  <c r="BU18" i="3"/>
  <c r="BV18" i="3"/>
  <c r="BW18" i="3"/>
  <c r="BX18" i="3"/>
  <c r="BY18" i="3"/>
  <c r="BZ18" i="3"/>
  <c r="CA18" i="3"/>
  <c r="CB18" i="3"/>
  <c r="CC18" i="3"/>
  <c r="CD18" i="3"/>
  <c r="CE18" i="3"/>
  <c r="CF18" i="3"/>
  <c r="CG18" i="3"/>
  <c r="CH18" i="3"/>
  <c r="CI18" i="3"/>
  <c r="CJ18" i="3"/>
  <c r="CK18" i="3"/>
  <c r="CL18" i="3"/>
  <c r="CM18" i="3"/>
  <c r="CN18" i="3"/>
  <c r="CO18" i="3"/>
  <c r="CP18" i="3"/>
  <c r="CQ18" i="3"/>
  <c r="CR18" i="3"/>
  <c r="CS18" i="3"/>
  <c r="CT18" i="3"/>
  <c r="CU18" i="3"/>
  <c r="CV18" i="3"/>
  <c r="CW18" i="3"/>
  <c r="CX18" i="3"/>
  <c r="CY18" i="3"/>
  <c r="CZ18" i="3"/>
  <c r="DA18" i="3"/>
  <c r="DB18" i="3"/>
  <c r="DC18" i="3"/>
  <c r="DD18" i="3"/>
  <c r="DE18" i="3"/>
  <c r="DF18" i="3"/>
  <c r="DG18" i="3"/>
  <c r="S19" i="3"/>
  <c r="T19" i="3"/>
  <c r="U19" i="3"/>
  <c r="V19" i="3"/>
  <c r="W19" i="3"/>
  <c r="X19" i="3"/>
  <c r="Y19" i="3"/>
  <c r="Z19" i="3"/>
  <c r="AA19" i="3"/>
  <c r="AB19" i="3"/>
  <c r="AC19" i="3"/>
  <c r="AD19" i="3"/>
  <c r="AE19" i="3"/>
  <c r="AF19" i="3"/>
  <c r="AG19" i="3"/>
  <c r="AH19" i="3"/>
  <c r="AI19" i="3"/>
  <c r="AJ19" i="3"/>
  <c r="AK19" i="3"/>
  <c r="AL19" i="3"/>
  <c r="AM19" i="3"/>
  <c r="AN19" i="3"/>
  <c r="AO19" i="3"/>
  <c r="AP19" i="3"/>
  <c r="AQ19" i="3"/>
  <c r="AR19" i="3"/>
  <c r="AS19" i="3"/>
  <c r="AT19" i="3"/>
  <c r="AU19" i="3"/>
  <c r="AV19" i="3"/>
  <c r="AW19" i="3"/>
  <c r="AX19" i="3"/>
  <c r="AY19" i="3"/>
  <c r="AZ19" i="3"/>
  <c r="BA19" i="3"/>
  <c r="BB19" i="3"/>
  <c r="BC19" i="3"/>
  <c r="BD19" i="3"/>
  <c r="BE19" i="3"/>
  <c r="BF19" i="3"/>
  <c r="BG19" i="3"/>
  <c r="BH19" i="3"/>
  <c r="BI19" i="3"/>
  <c r="BJ19" i="3"/>
  <c r="BK19" i="3"/>
  <c r="BL19" i="3"/>
  <c r="BM19" i="3"/>
  <c r="BN19" i="3"/>
  <c r="BO19" i="3"/>
  <c r="BP19" i="3"/>
  <c r="BQ19" i="3"/>
  <c r="BR19" i="3"/>
  <c r="BS19" i="3"/>
  <c r="BT19" i="3"/>
  <c r="BU19" i="3"/>
  <c r="BV19" i="3"/>
  <c r="BW19" i="3"/>
  <c r="BX19" i="3"/>
  <c r="BY19" i="3"/>
  <c r="BZ19" i="3"/>
  <c r="CA19" i="3"/>
  <c r="CB19" i="3"/>
  <c r="CC19" i="3"/>
  <c r="CD19" i="3"/>
  <c r="CE19" i="3"/>
  <c r="CF19" i="3"/>
  <c r="CG19" i="3"/>
  <c r="CH19" i="3"/>
  <c r="CI19" i="3"/>
  <c r="CJ19" i="3"/>
  <c r="CK19" i="3"/>
  <c r="CL19" i="3"/>
  <c r="CM19" i="3"/>
  <c r="CN19" i="3"/>
  <c r="CO19" i="3"/>
  <c r="CP19" i="3"/>
  <c r="CQ19" i="3"/>
  <c r="CR19" i="3"/>
  <c r="CS19" i="3"/>
  <c r="CT19" i="3"/>
  <c r="CU19" i="3"/>
  <c r="CV19" i="3"/>
  <c r="CW19" i="3"/>
  <c r="CX19" i="3"/>
  <c r="CY19" i="3"/>
  <c r="CZ19" i="3"/>
  <c r="DA19" i="3"/>
  <c r="DB19" i="3"/>
  <c r="DC19" i="3"/>
  <c r="DD19" i="3"/>
  <c r="DE19" i="3"/>
  <c r="DF19" i="3"/>
  <c r="DG19" i="3"/>
  <c r="S20" i="3"/>
  <c r="T20" i="3"/>
  <c r="U20" i="3"/>
  <c r="V20" i="3"/>
  <c r="W20" i="3"/>
  <c r="X20" i="3"/>
  <c r="Y20" i="3"/>
  <c r="Z20" i="3"/>
  <c r="AA20" i="3"/>
  <c r="AB20" i="3"/>
  <c r="AC20" i="3"/>
  <c r="AD20" i="3"/>
  <c r="AE20" i="3"/>
  <c r="AF20" i="3"/>
  <c r="AG20" i="3"/>
  <c r="AH20" i="3"/>
  <c r="AI20" i="3"/>
  <c r="AJ20" i="3"/>
  <c r="AK20" i="3"/>
  <c r="AL20" i="3"/>
  <c r="AM20" i="3"/>
  <c r="AN20" i="3"/>
  <c r="AO20" i="3"/>
  <c r="AP20" i="3"/>
  <c r="AQ20" i="3"/>
  <c r="AR20" i="3"/>
  <c r="AS20" i="3"/>
  <c r="AT20" i="3"/>
  <c r="AU20" i="3"/>
  <c r="AV20" i="3"/>
  <c r="AW20" i="3"/>
  <c r="AX20" i="3"/>
  <c r="AY20" i="3"/>
  <c r="AZ20" i="3"/>
  <c r="BA20" i="3"/>
  <c r="BB20" i="3"/>
  <c r="BC20" i="3"/>
  <c r="BD20" i="3"/>
  <c r="BE20" i="3"/>
  <c r="BF20" i="3"/>
  <c r="BG20" i="3"/>
  <c r="BH20" i="3"/>
  <c r="BI20" i="3"/>
  <c r="BJ20" i="3"/>
  <c r="BK20" i="3"/>
  <c r="BL20" i="3"/>
  <c r="BM20" i="3"/>
  <c r="BN20" i="3"/>
  <c r="BO20" i="3"/>
  <c r="BP20" i="3"/>
  <c r="BQ20" i="3"/>
  <c r="BR20" i="3"/>
  <c r="BS20" i="3"/>
  <c r="BT20" i="3"/>
  <c r="BU20" i="3"/>
  <c r="BV20" i="3"/>
  <c r="BW20" i="3"/>
  <c r="BX20" i="3"/>
  <c r="BY20" i="3"/>
  <c r="BZ20" i="3"/>
  <c r="CA20" i="3"/>
  <c r="CB20" i="3"/>
  <c r="CC20" i="3"/>
  <c r="CD20" i="3"/>
  <c r="CE20" i="3"/>
  <c r="CF20" i="3"/>
  <c r="CG20" i="3"/>
  <c r="CH20" i="3"/>
  <c r="CI20" i="3"/>
  <c r="CJ20" i="3"/>
  <c r="CK20" i="3"/>
  <c r="CL20" i="3"/>
  <c r="CM20" i="3"/>
  <c r="CN20" i="3"/>
  <c r="CO20" i="3"/>
  <c r="CP20" i="3"/>
  <c r="CQ20" i="3"/>
  <c r="CR20" i="3"/>
  <c r="CS20" i="3"/>
  <c r="CT20" i="3"/>
  <c r="CU20" i="3"/>
  <c r="CV20" i="3"/>
  <c r="CW20" i="3"/>
  <c r="CX20" i="3"/>
  <c r="CY20" i="3"/>
  <c r="CZ20" i="3"/>
  <c r="DA20" i="3"/>
  <c r="DB20" i="3"/>
  <c r="DC20" i="3"/>
  <c r="DD20" i="3"/>
  <c r="DE20" i="3"/>
  <c r="DF20" i="3"/>
  <c r="DG20" i="3"/>
  <c r="S21" i="3"/>
  <c r="T21" i="3"/>
  <c r="U21" i="3"/>
  <c r="V21" i="3"/>
  <c r="W21" i="3"/>
  <c r="X21" i="3"/>
  <c r="Y21" i="3"/>
  <c r="Z21" i="3"/>
  <c r="AA21" i="3"/>
  <c r="AB21" i="3"/>
  <c r="AC21" i="3"/>
  <c r="AD21" i="3"/>
  <c r="AE21" i="3"/>
  <c r="AF21" i="3"/>
  <c r="AG21" i="3"/>
  <c r="AH21" i="3"/>
  <c r="AI21" i="3"/>
  <c r="AJ21" i="3"/>
  <c r="AK21" i="3"/>
  <c r="AL21" i="3"/>
  <c r="AM21" i="3"/>
  <c r="AN21" i="3"/>
  <c r="AO21" i="3"/>
  <c r="AP21" i="3"/>
  <c r="AQ21" i="3"/>
  <c r="AR21" i="3"/>
  <c r="AS21" i="3"/>
  <c r="AT21" i="3"/>
  <c r="AU21" i="3"/>
  <c r="AV21" i="3"/>
  <c r="AW21" i="3"/>
  <c r="AX21" i="3"/>
  <c r="AY21" i="3"/>
  <c r="AZ21" i="3"/>
  <c r="BA21" i="3"/>
  <c r="BB21" i="3"/>
  <c r="BC21" i="3"/>
  <c r="BD21" i="3"/>
  <c r="BE21" i="3"/>
  <c r="BF21" i="3"/>
  <c r="BG21" i="3"/>
  <c r="BH21" i="3"/>
  <c r="BI21" i="3"/>
  <c r="BJ21" i="3"/>
  <c r="BK21" i="3"/>
  <c r="BL21" i="3"/>
  <c r="BM21" i="3"/>
  <c r="BN21" i="3"/>
  <c r="BO21" i="3"/>
  <c r="BP21" i="3"/>
  <c r="BQ21" i="3"/>
  <c r="BR21" i="3"/>
  <c r="BS21" i="3"/>
  <c r="BT21" i="3"/>
  <c r="BU21" i="3"/>
  <c r="BV21" i="3"/>
  <c r="BW21" i="3"/>
  <c r="BX21" i="3"/>
  <c r="BY21" i="3"/>
  <c r="BZ21" i="3"/>
  <c r="CA21" i="3"/>
  <c r="CB21" i="3"/>
  <c r="CC21" i="3"/>
  <c r="CD21" i="3"/>
  <c r="CE21" i="3"/>
  <c r="CF21" i="3"/>
  <c r="CG21" i="3"/>
  <c r="CH21" i="3"/>
  <c r="CI21" i="3"/>
  <c r="CJ21" i="3"/>
  <c r="CK21" i="3"/>
  <c r="CL21" i="3"/>
  <c r="CM21" i="3"/>
  <c r="CN21" i="3"/>
  <c r="CO21" i="3"/>
  <c r="CP21" i="3"/>
  <c r="CQ21" i="3"/>
  <c r="CR21" i="3"/>
  <c r="CS21" i="3"/>
  <c r="CT21" i="3"/>
  <c r="CU21" i="3"/>
  <c r="CV21" i="3"/>
  <c r="CW21" i="3"/>
  <c r="CX21" i="3"/>
  <c r="CY21" i="3"/>
  <c r="CZ21" i="3"/>
  <c r="DA21" i="3"/>
  <c r="DB21" i="3"/>
  <c r="DC21" i="3"/>
  <c r="DD21" i="3"/>
  <c r="DE21" i="3"/>
  <c r="DF21" i="3"/>
  <c r="DG21" i="3"/>
  <c r="S22" i="3"/>
  <c r="T22" i="3"/>
  <c r="U22" i="3"/>
  <c r="V22" i="3"/>
  <c r="W22" i="3"/>
  <c r="X22" i="3"/>
  <c r="Y22" i="3"/>
  <c r="Z22" i="3"/>
  <c r="AA22" i="3"/>
  <c r="AB22" i="3"/>
  <c r="AC22" i="3"/>
  <c r="AD22" i="3"/>
  <c r="AE22" i="3"/>
  <c r="AF22" i="3"/>
  <c r="AG22" i="3"/>
  <c r="AH22" i="3"/>
  <c r="AI22" i="3"/>
  <c r="AJ22" i="3"/>
  <c r="AK22" i="3"/>
  <c r="AL22" i="3"/>
  <c r="AM22" i="3"/>
  <c r="AN22" i="3"/>
  <c r="AO22" i="3"/>
  <c r="AP22" i="3"/>
  <c r="AQ22" i="3"/>
  <c r="AR22" i="3"/>
  <c r="AS22" i="3"/>
  <c r="AT22" i="3"/>
  <c r="AU22" i="3"/>
  <c r="AV22" i="3"/>
  <c r="AW22" i="3"/>
  <c r="AX22" i="3"/>
  <c r="AY22" i="3"/>
  <c r="AZ22" i="3"/>
  <c r="BA22" i="3"/>
  <c r="BB22" i="3"/>
  <c r="BC22" i="3"/>
  <c r="BD22" i="3"/>
  <c r="BE22" i="3"/>
  <c r="BF22" i="3"/>
  <c r="BG22" i="3"/>
  <c r="BH22" i="3"/>
  <c r="BI22" i="3"/>
  <c r="BJ22" i="3"/>
  <c r="BK22" i="3"/>
  <c r="BL22" i="3"/>
  <c r="BM22" i="3"/>
  <c r="BN22" i="3"/>
  <c r="BO22" i="3"/>
  <c r="BP22" i="3"/>
  <c r="BQ22" i="3"/>
  <c r="BR22" i="3"/>
  <c r="BS22" i="3"/>
  <c r="BT22" i="3"/>
  <c r="BU22" i="3"/>
  <c r="BV22" i="3"/>
  <c r="BW22" i="3"/>
  <c r="BX22" i="3"/>
  <c r="BY22" i="3"/>
  <c r="BZ22" i="3"/>
  <c r="CA22" i="3"/>
  <c r="CB22" i="3"/>
  <c r="CC22" i="3"/>
  <c r="CD22" i="3"/>
  <c r="CE22" i="3"/>
  <c r="CF22" i="3"/>
  <c r="CG22" i="3"/>
  <c r="CH22" i="3"/>
  <c r="CI22" i="3"/>
  <c r="CJ22" i="3"/>
  <c r="CK22" i="3"/>
  <c r="CL22" i="3"/>
  <c r="CM22" i="3"/>
  <c r="CN22" i="3"/>
  <c r="CO22" i="3"/>
  <c r="CP22" i="3"/>
  <c r="CQ22" i="3"/>
  <c r="CR22" i="3"/>
  <c r="CS22" i="3"/>
  <c r="CT22" i="3"/>
  <c r="CU22" i="3"/>
  <c r="CV22" i="3"/>
  <c r="CW22" i="3"/>
  <c r="CX22" i="3"/>
  <c r="CY22" i="3"/>
  <c r="CZ22" i="3"/>
  <c r="DA22" i="3"/>
  <c r="DB22" i="3"/>
  <c r="DC22" i="3"/>
  <c r="DD22" i="3"/>
  <c r="DE22" i="3"/>
  <c r="DF22" i="3"/>
  <c r="DG22" i="3"/>
  <c r="S23" i="3"/>
  <c r="T23" i="3"/>
  <c r="U23" i="3"/>
  <c r="V23" i="3"/>
  <c r="W23" i="3"/>
  <c r="X23" i="3"/>
  <c r="Y23" i="3"/>
  <c r="Z23" i="3"/>
  <c r="AA23" i="3"/>
  <c r="AB23" i="3"/>
  <c r="AC23" i="3"/>
  <c r="AD23" i="3"/>
  <c r="AE23" i="3"/>
  <c r="AF23" i="3"/>
  <c r="AG23" i="3"/>
  <c r="AH23" i="3"/>
  <c r="AI23" i="3"/>
  <c r="AJ23" i="3"/>
  <c r="AK23" i="3"/>
  <c r="AL23" i="3"/>
  <c r="AM23" i="3"/>
  <c r="AN23" i="3"/>
  <c r="AO23" i="3"/>
  <c r="AP23" i="3"/>
  <c r="AQ23" i="3"/>
  <c r="AR23" i="3"/>
  <c r="AS23" i="3"/>
  <c r="AT23" i="3"/>
  <c r="AU23" i="3"/>
  <c r="AV23" i="3"/>
  <c r="AW23" i="3"/>
  <c r="AX23" i="3"/>
  <c r="AY23" i="3"/>
  <c r="AZ23" i="3"/>
  <c r="BA23" i="3"/>
  <c r="BB23" i="3"/>
  <c r="BC23" i="3"/>
  <c r="BD23" i="3"/>
  <c r="BE23" i="3"/>
  <c r="BF23" i="3"/>
  <c r="BG23" i="3"/>
  <c r="BH23" i="3"/>
  <c r="BI23" i="3"/>
  <c r="BJ23" i="3"/>
  <c r="BK23" i="3"/>
  <c r="BL23" i="3"/>
  <c r="BM23" i="3"/>
  <c r="BN23" i="3"/>
  <c r="BO23" i="3"/>
  <c r="BP23" i="3"/>
  <c r="BQ23" i="3"/>
  <c r="BR23" i="3"/>
  <c r="BS23" i="3"/>
  <c r="BT23" i="3"/>
  <c r="BU23" i="3"/>
  <c r="BV23" i="3"/>
  <c r="BW23" i="3"/>
  <c r="BX23" i="3"/>
  <c r="BY23" i="3"/>
  <c r="BZ23" i="3"/>
  <c r="CA23" i="3"/>
  <c r="CB23" i="3"/>
  <c r="CC23" i="3"/>
  <c r="CD23" i="3"/>
  <c r="CE23" i="3"/>
  <c r="CF23" i="3"/>
  <c r="CG23" i="3"/>
  <c r="CH23" i="3"/>
  <c r="CI23" i="3"/>
  <c r="CJ23" i="3"/>
  <c r="CK23" i="3"/>
  <c r="CL23" i="3"/>
  <c r="CM23" i="3"/>
  <c r="CN23" i="3"/>
  <c r="CO23" i="3"/>
  <c r="CP23" i="3"/>
  <c r="CQ23" i="3"/>
  <c r="CR23" i="3"/>
  <c r="CS23" i="3"/>
  <c r="CT23" i="3"/>
  <c r="CU23" i="3"/>
  <c r="CV23" i="3"/>
  <c r="CW23" i="3"/>
  <c r="CX23" i="3"/>
  <c r="CY23" i="3"/>
  <c r="CZ23" i="3"/>
  <c r="DA23" i="3"/>
  <c r="DB23" i="3"/>
  <c r="DC23" i="3"/>
  <c r="DD23" i="3"/>
  <c r="DE23" i="3"/>
  <c r="DF23" i="3"/>
  <c r="DG23" i="3"/>
  <c r="C11" i="3"/>
  <c r="D11" i="3"/>
  <c r="E11" i="3"/>
  <c r="F11" i="3"/>
  <c r="G11" i="3"/>
  <c r="H11" i="3"/>
  <c r="I11" i="3"/>
  <c r="J11" i="3"/>
  <c r="K11" i="3"/>
  <c r="L11" i="3"/>
  <c r="M11" i="3"/>
  <c r="N11" i="3"/>
  <c r="O11" i="3"/>
  <c r="P11" i="3"/>
  <c r="Q11" i="3"/>
  <c r="R11" i="3"/>
  <c r="C12" i="3"/>
  <c r="D12" i="3"/>
  <c r="E12" i="3"/>
  <c r="F12" i="3"/>
  <c r="G12" i="3"/>
  <c r="H12" i="3"/>
  <c r="I12" i="3"/>
  <c r="J12" i="3"/>
  <c r="K12" i="3"/>
  <c r="L12" i="3"/>
  <c r="M12" i="3"/>
  <c r="N12" i="3"/>
  <c r="O12" i="3"/>
  <c r="P12" i="3"/>
  <c r="Q12" i="3"/>
  <c r="R12" i="3"/>
  <c r="C13" i="3"/>
  <c r="D13" i="3"/>
  <c r="E13" i="3"/>
  <c r="F13" i="3"/>
  <c r="G13" i="3"/>
  <c r="H13" i="3"/>
  <c r="I13" i="3"/>
  <c r="J13" i="3"/>
  <c r="K13" i="3"/>
  <c r="L13" i="3"/>
  <c r="M13" i="3"/>
  <c r="N13" i="3"/>
  <c r="O13" i="3"/>
  <c r="P13" i="3"/>
  <c r="Q13" i="3"/>
  <c r="R13" i="3"/>
  <c r="C14" i="3"/>
  <c r="D14" i="3"/>
  <c r="E14" i="3"/>
  <c r="F14" i="3"/>
  <c r="G14" i="3"/>
  <c r="H14" i="3"/>
  <c r="I14" i="3"/>
  <c r="J14" i="3"/>
  <c r="K14" i="3"/>
  <c r="L14" i="3"/>
  <c r="M14" i="3"/>
  <c r="N14" i="3"/>
  <c r="O14" i="3"/>
  <c r="P14" i="3"/>
  <c r="Q14" i="3"/>
  <c r="R14" i="3"/>
  <c r="C15" i="3"/>
  <c r="D15" i="3"/>
  <c r="E15" i="3"/>
  <c r="F15" i="3"/>
  <c r="G15" i="3"/>
  <c r="H15" i="3"/>
  <c r="I15" i="3"/>
  <c r="J15" i="3"/>
  <c r="K15" i="3"/>
  <c r="L15" i="3"/>
  <c r="M15" i="3"/>
  <c r="N15" i="3"/>
  <c r="O15" i="3"/>
  <c r="P15" i="3"/>
  <c r="Q15" i="3"/>
  <c r="R15" i="3"/>
  <c r="C16" i="3"/>
  <c r="D16" i="3"/>
  <c r="E16" i="3"/>
  <c r="F16" i="3"/>
  <c r="G16" i="3"/>
  <c r="H16" i="3"/>
  <c r="I16" i="3"/>
  <c r="J16" i="3"/>
  <c r="K16" i="3"/>
  <c r="L16" i="3"/>
  <c r="M16" i="3"/>
  <c r="N16" i="3"/>
  <c r="O16" i="3"/>
  <c r="P16" i="3"/>
  <c r="Q16" i="3"/>
  <c r="R16" i="3"/>
  <c r="C17" i="3"/>
  <c r="D17" i="3"/>
  <c r="E17" i="3"/>
  <c r="F17" i="3"/>
  <c r="G17" i="3"/>
  <c r="H17" i="3"/>
  <c r="I17" i="3"/>
  <c r="J17" i="3"/>
  <c r="K17" i="3"/>
  <c r="L17" i="3"/>
  <c r="M17" i="3"/>
  <c r="N17" i="3"/>
  <c r="O17" i="3"/>
  <c r="P17" i="3"/>
  <c r="Q17" i="3"/>
  <c r="R17" i="3"/>
  <c r="C18" i="3"/>
  <c r="D18" i="3"/>
  <c r="E18" i="3"/>
  <c r="F18" i="3"/>
  <c r="G18" i="3"/>
  <c r="H18" i="3"/>
  <c r="I18" i="3"/>
  <c r="J18" i="3"/>
  <c r="K18" i="3"/>
  <c r="L18" i="3"/>
  <c r="M18" i="3"/>
  <c r="N18" i="3"/>
  <c r="O18" i="3"/>
  <c r="P18" i="3"/>
  <c r="Q18" i="3"/>
  <c r="R18" i="3"/>
  <c r="C19" i="3"/>
  <c r="D19" i="3"/>
  <c r="E19" i="3"/>
  <c r="F19" i="3"/>
  <c r="G19" i="3"/>
  <c r="H19" i="3"/>
  <c r="I19" i="3"/>
  <c r="J19" i="3"/>
  <c r="K19" i="3"/>
  <c r="L19" i="3"/>
  <c r="M19" i="3"/>
  <c r="N19" i="3"/>
  <c r="O19" i="3"/>
  <c r="P19" i="3"/>
  <c r="Q19" i="3"/>
  <c r="R19" i="3"/>
  <c r="C20" i="3"/>
  <c r="D20" i="3"/>
  <c r="E20" i="3"/>
  <c r="F20" i="3"/>
  <c r="G20" i="3"/>
  <c r="H20" i="3"/>
  <c r="I20" i="3"/>
  <c r="J20" i="3"/>
  <c r="K20" i="3"/>
  <c r="L20" i="3"/>
  <c r="M20" i="3"/>
  <c r="N20" i="3"/>
  <c r="O20" i="3"/>
  <c r="P20" i="3"/>
  <c r="Q20" i="3"/>
  <c r="R20" i="3"/>
  <c r="C21" i="3"/>
  <c r="D21" i="3"/>
  <c r="E21" i="3"/>
  <c r="F21" i="3"/>
  <c r="G21" i="3"/>
  <c r="H21" i="3"/>
  <c r="I21" i="3"/>
  <c r="J21" i="3"/>
  <c r="K21" i="3"/>
  <c r="L21" i="3"/>
  <c r="M21" i="3"/>
  <c r="N21" i="3"/>
  <c r="O21" i="3"/>
  <c r="P21" i="3"/>
  <c r="Q21" i="3"/>
  <c r="R21" i="3"/>
  <c r="C22" i="3"/>
  <c r="D22" i="3"/>
  <c r="E22" i="3"/>
  <c r="F22" i="3"/>
  <c r="G22" i="3"/>
  <c r="H22" i="3"/>
  <c r="I22" i="3"/>
  <c r="J22" i="3"/>
  <c r="K22" i="3"/>
  <c r="L22" i="3"/>
  <c r="M22" i="3"/>
  <c r="N22" i="3"/>
  <c r="O22" i="3"/>
  <c r="P22" i="3"/>
  <c r="Q22" i="3"/>
  <c r="R22" i="3"/>
  <c r="C23" i="3"/>
  <c r="D23" i="3"/>
  <c r="E23" i="3"/>
  <c r="F23" i="3"/>
  <c r="G23" i="3"/>
  <c r="H23" i="3"/>
  <c r="I23" i="3"/>
  <c r="J23" i="3"/>
  <c r="K23" i="3"/>
  <c r="L23" i="3"/>
  <c r="M23" i="3"/>
  <c r="N23" i="3"/>
  <c r="O23" i="3"/>
  <c r="P23" i="3"/>
  <c r="Q23" i="3"/>
  <c r="R23" i="3"/>
  <c r="B12" i="3"/>
  <c r="B13" i="3"/>
  <c r="B14" i="3"/>
  <c r="B15" i="3"/>
  <c r="B16" i="3"/>
  <c r="B17" i="3"/>
  <c r="B18" i="3"/>
  <c r="B19" i="3"/>
  <c r="B20" i="3"/>
  <c r="B21" i="3"/>
  <c r="B22" i="3"/>
  <c r="B23" i="3"/>
  <c r="C16" i="6"/>
  <c r="AL36" i="3" l="1"/>
  <c r="AL28" i="3"/>
  <c r="AL34" i="3"/>
  <c r="AL33" i="3"/>
  <c r="AL32" i="3"/>
  <c r="AL31" i="3"/>
  <c r="AL30" i="3"/>
  <c r="AL37" i="3"/>
  <c r="AL29" i="3"/>
  <c r="AL35" i="3"/>
  <c r="AL27" i="3"/>
  <c r="A1" i="6"/>
  <c r="AG3" i="6"/>
  <c r="AN28" i="3" l="1"/>
  <c r="AF26" i="3" l="1"/>
  <c r="J25" i="3"/>
  <c r="AF25" i="3" l="1"/>
  <c r="B11" i="3" l="1"/>
  <c r="M5" i="3"/>
  <c r="AL26" i="3" l="1"/>
  <c r="AE7" i="3"/>
  <c r="BU4" i="3"/>
  <c r="BG3" i="3"/>
  <c r="AE3" i="3"/>
  <c r="AE5" i="3"/>
  <c r="AM4" i="3"/>
  <c r="Y7" i="3"/>
  <c r="AK6" i="3"/>
  <c r="CA7" i="3"/>
  <c r="BS4" i="3"/>
  <c r="AI7" i="3"/>
  <c r="BS7" i="3"/>
  <c r="AC7" i="3"/>
  <c r="CC3" i="3"/>
  <c r="BS3" i="3"/>
  <c r="CC5" i="3"/>
  <c r="Y4" i="3"/>
  <c r="CA5" i="3"/>
  <c r="AW7" i="3"/>
  <c r="AU3" i="3"/>
  <c r="AU4" i="3"/>
  <c r="BC7" i="3"/>
  <c r="AU6" i="3"/>
  <c r="BS6" i="3"/>
  <c r="CA6" i="3"/>
  <c r="AE6" i="3"/>
  <c r="AC6" i="3"/>
  <c r="BU6" i="3"/>
  <c r="CC6" i="3"/>
  <c r="AU7" i="3"/>
  <c r="AM7" i="3"/>
  <c r="BA5" i="3"/>
  <c r="BG5" i="3"/>
  <c r="CA4" i="3"/>
  <c r="AC5" i="3"/>
  <c r="M3" i="3"/>
  <c r="AU5" i="3"/>
  <c r="AW5" i="3"/>
  <c r="AC4" i="3"/>
  <c r="E3" i="3"/>
  <c r="AK5" i="3"/>
  <c r="BU5" i="3"/>
  <c r="AM5" i="3"/>
  <c r="AW3" i="3"/>
  <c r="BU7" i="3"/>
  <c r="AK4" i="3"/>
  <c r="Y6" i="3"/>
  <c r="AC3" i="3"/>
  <c r="AM6" i="3"/>
  <c r="BA6" i="3"/>
  <c r="AK3" i="3"/>
  <c r="BG6" i="3"/>
  <c r="AW4" i="3"/>
  <c r="M7" i="3"/>
  <c r="W3" i="3"/>
  <c r="AK7" i="3"/>
  <c r="BG7" i="3"/>
  <c r="BU3" i="3"/>
  <c r="BS5" i="3"/>
  <c r="M6" i="3"/>
  <c r="CA3" i="3"/>
  <c r="AM3" i="3"/>
  <c r="AW6" i="3"/>
  <c r="M4" i="3"/>
  <c r="AE4" i="3"/>
  <c r="Y5" i="3"/>
  <c r="CC4" i="3"/>
  <c r="BG4" i="3"/>
  <c r="CC7" i="3"/>
  <c r="Y3" i="3"/>
  <c r="AN35" i="3" l="1"/>
  <c r="AN33" i="3"/>
  <c r="AN27" i="3"/>
  <c r="AN32" i="3"/>
  <c r="AN34" i="3"/>
  <c r="AN36" i="3"/>
  <c r="AN31" i="3"/>
  <c r="AN30" i="3"/>
  <c r="AN37" i="3"/>
  <c r="AN29" i="3"/>
  <c r="AD26" i="3"/>
  <c r="AU8" i="3" l="1"/>
  <c r="AM8" i="3"/>
  <c r="AW8" i="3"/>
  <c r="AC8" i="3"/>
  <c r="Y8" i="3"/>
  <c r="BS8" i="3"/>
  <c r="AN26" i="3"/>
  <c r="BG8" i="3" l="1"/>
  <c r="BU8" i="3"/>
  <c r="AK8" i="3"/>
  <c r="M8" i="3"/>
  <c r="CA8" i="3"/>
  <c r="AE8" i="3"/>
  <c r="CC8" i="3"/>
  <c r="BQ5" i="3"/>
  <c r="AA6" i="3"/>
  <c r="Q4" i="3"/>
  <c r="Q6" i="3"/>
  <c r="AO3" i="3"/>
  <c r="CW3" i="3"/>
  <c r="AY7" i="3"/>
  <c r="DG3" i="3"/>
  <c r="U7" i="3"/>
  <c r="CI7" i="3"/>
  <c r="BA4" i="3"/>
  <c r="AQ4" i="3"/>
  <c r="CS4" i="3"/>
  <c r="Q7" i="3"/>
  <c r="AO5" i="3"/>
  <c r="W7" i="3"/>
  <c r="E5" i="3"/>
  <c r="BM6" i="3"/>
  <c r="CG5" i="3"/>
  <c r="I7" i="3"/>
  <c r="BQ6" i="3"/>
  <c r="BK4" i="3"/>
  <c r="W5" i="3"/>
  <c r="AI5" i="3"/>
  <c r="I6" i="3"/>
  <c r="DE4" i="3"/>
  <c r="AQ7" i="3"/>
  <c r="DG6" i="3"/>
  <c r="BK3" i="3"/>
  <c r="DC4" i="3"/>
  <c r="BA3" i="3"/>
  <c r="C7" i="3"/>
  <c r="CM4" i="3"/>
  <c r="G7" i="3"/>
  <c r="AG6" i="3"/>
  <c r="AQ5" i="3"/>
  <c r="CY3" i="3"/>
  <c r="BM7" i="3"/>
  <c r="DE7" i="3"/>
  <c r="C5" i="3"/>
  <c r="AY6" i="3"/>
  <c r="CE3" i="3"/>
  <c r="CK7" i="3"/>
  <c r="AY3" i="3"/>
  <c r="AG3" i="3"/>
  <c r="S5" i="3"/>
  <c r="DA5" i="3"/>
  <c r="AG4" i="3"/>
  <c r="BW7" i="3"/>
  <c r="DG5" i="3"/>
  <c r="CK3" i="3"/>
  <c r="W4" i="3"/>
  <c r="K4" i="3"/>
  <c r="DE5" i="3"/>
  <c r="AS7" i="3"/>
  <c r="U4" i="3"/>
  <c r="BY3" i="3"/>
  <c r="CM7" i="3"/>
  <c r="Q3" i="3"/>
  <c r="CI6" i="3"/>
  <c r="BI3" i="3"/>
  <c r="BI6" i="3"/>
  <c r="K3" i="3"/>
  <c r="CE7" i="3"/>
  <c r="AQ6" i="3"/>
  <c r="C3" i="3"/>
  <c r="CG7" i="3"/>
  <c r="AY5" i="3"/>
  <c r="AQ3" i="3"/>
  <c r="BO7" i="3"/>
  <c r="O3" i="3"/>
  <c r="AA7" i="3"/>
  <c r="S3" i="3"/>
  <c r="BQ4" i="3"/>
  <c r="AO4" i="3"/>
  <c r="G6" i="3"/>
  <c r="CS7" i="3"/>
  <c r="CO5" i="3"/>
  <c r="G3" i="3"/>
  <c r="AS5" i="3"/>
  <c r="BY5" i="3"/>
  <c r="AI3" i="3"/>
  <c r="CO6" i="3"/>
  <c r="CU3" i="3"/>
  <c r="I3" i="3"/>
  <c r="BW6" i="3"/>
  <c r="BI5" i="3"/>
  <c r="O7" i="3"/>
  <c r="BC4" i="3"/>
  <c r="S6" i="3"/>
  <c r="BM4" i="3"/>
  <c r="CW6" i="3"/>
  <c r="BA7" i="3"/>
  <c r="CI5" i="3"/>
  <c r="E6" i="3"/>
  <c r="CQ4" i="3"/>
  <c r="BK5" i="3"/>
  <c r="U3" i="3"/>
  <c r="AG5" i="3"/>
  <c r="BO5" i="3"/>
  <c r="DE3" i="3"/>
  <c r="BW3" i="3"/>
  <c r="E7" i="3"/>
  <c r="BO4" i="3"/>
  <c r="AS4" i="3"/>
  <c r="CS5" i="3"/>
  <c r="K6" i="3"/>
  <c r="K7" i="3"/>
  <c r="CY6" i="3"/>
  <c r="BY4" i="3"/>
  <c r="BC6" i="3"/>
  <c r="CM3" i="3"/>
  <c r="DA7" i="3"/>
  <c r="S7" i="3"/>
  <c r="CI4" i="3"/>
  <c r="AI6" i="3"/>
  <c r="CE4" i="3"/>
  <c r="AG7" i="3"/>
  <c r="G4" i="3"/>
  <c r="BW4" i="3"/>
  <c r="CO4" i="3"/>
  <c r="CO3" i="3"/>
  <c r="I4" i="3"/>
  <c r="DA4" i="3"/>
  <c r="BI7" i="3"/>
  <c r="BC3" i="3"/>
  <c r="CW4" i="3"/>
  <c r="C4" i="3"/>
  <c r="BE4" i="3"/>
  <c r="CG6" i="3"/>
  <c r="CW5" i="3"/>
  <c r="CQ6" i="3"/>
  <c r="AS6" i="3"/>
  <c r="CM6" i="3"/>
  <c r="BI4" i="3"/>
  <c r="BO3" i="3"/>
  <c r="BE3" i="3"/>
  <c r="BC5" i="3"/>
  <c r="Q5" i="3"/>
  <c r="DC7" i="3"/>
  <c r="W6" i="3"/>
  <c r="CO7" i="3"/>
  <c r="BE5" i="3"/>
  <c r="AO7" i="3"/>
  <c r="BQ7" i="3"/>
  <c r="I5" i="3"/>
  <c r="DC5" i="3"/>
  <c r="BK6" i="3"/>
  <c r="DC3" i="3"/>
  <c r="BK7" i="3"/>
  <c r="CU5" i="3"/>
  <c r="CG3" i="3"/>
  <c r="E4" i="3"/>
  <c r="U6" i="3"/>
  <c r="C6" i="3"/>
  <c r="O6" i="3"/>
  <c r="BE7" i="3"/>
  <c r="BY6" i="3"/>
  <c r="DG4" i="3"/>
  <c r="O4" i="3"/>
  <c r="CS3" i="3"/>
  <c r="BO6" i="3"/>
  <c r="AS3" i="3"/>
  <c r="CQ5" i="3"/>
  <c r="DA6" i="3"/>
  <c r="AA3" i="3"/>
  <c r="CU4" i="3"/>
  <c r="BE6" i="3"/>
  <c r="CU7" i="3"/>
  <c r="G5" i="3"/>
  <c r="BM3" i="3"/>
  <c r="CS6" i="3"/>
  <c r="K5" i="3"/>
  <c r="DE6" i="3"/>
  <c r="DG7" i="3"/>
  <c r="U5" i="3"/>
  <c r="AA5" i="3"/>
  <c r="CY4" i="3"/>
  <c r="CK4" i="3"/>
  <c r="CE5" i="3"/>
  <c r="S4" i="3"/>
  <c r="DA3" i="3"/>
  <c r="BQ3" i="3"/>
  <c r="AI4" i="3"/>
  <c r="CI3" i="3"/>
  <c r="CM5" i="3"/>
  <c r="CE6" i="3"/>
  <c r="CG4" i="3"/>
  <c r="CU6" i="3"/>
  <c r="BY7" i="3"/>
  <c r="AO6" i="3"/>
  <c r="BM5" i="3"/>
  <c r="CQ3" i="3"/>
  <c r="CY7" i="3"/>
  <c r="CK5" i="3"/>
  <c r="AA4" i="3"/>
  <c r="CQ7" i="3"/>
  <c r="BW5" i="3"/>
  <c r="DC6" i="3"/>
  <c r="AY4" i="3"/>
  <c r="O5" i="3"/>
  <c r="CK6" i="3"/>
  <c r="CY5" i="3"/>
  <c r="CW7" i="3"/>
  <c r="S8" i="3" l="1"/>
  <c r="AO8" i="3"/>
  <c r="AY8" i="3"/>
  <c r="CY8" i="3"/>
  <c r="BK8" i="3"/>
  <c r="BC8" i="3"/>
  <c r="CS8" i="3"/>
  <c r="I8" i="3"/>
  <c r="CW8" i="3"/>
  <c r="BW8" i="3"/>
  <c r="AS8" i="3"/>
  <c r="BI8" i="3"/>
  <c r="O8" i="3"/>
  <c r="CE8" i="3"/>
  <c r="E8" i="3"/>
  <c r="Q8" i="3"/>
  <c r="AG8" i="3"/>
  <c r="BQ8" i="3"/>
  <c r="CU8" i="3"/>
  <c r="BO8" i="3"/>
  <c r="DE8" i="3"/>
  <c r="CO8" i="3"/>
  <c r="DA8" i="3"/>
  <c r="BM8" i="3"/>
  <c r="DC8" i="3"/>
  <c r="BY8" i="3"/>
  <c r="AQ8" i="3"/>
  <c r="CI8" i="3"/>
  <c r="AA8" i="3"/>
  <c r="BE8" i="3"/>
  <c r="CG8" i="3"/>
  <c r="G8" i="3"/>
  <c r="CQ8" i="3"/>
  <c r="W8" i="3"/>
  <c r="CK8" i="3"/>
  <c r="C8" i="3"/>
  <c r="DG8" i="3"/>
  <c r="AI8" i="3"/>
  <c r="K8" i="3"/>
  <c r="U8" i="3"/>
  <c r="CM8" i="3"/>
  <c r="BA8" i="3"/>
  <c r="L26" i="3" l="1" a="1"/>
  <c r="L26" i="3" s="1"/>
  <c r="L27" i="3" s="1" a="1"/>
  <c r="L27" i="3" s="1"/>
  <c r="P26" i="3" l="1"/>
  <c r="V26" i="3"/>
  <c r="R26" i="3"/>
  <c r="T26" i="3"/>
  <c r="N26" i="3"/>
  <c r="L28" i="3" a="1"/>
  <c r="L28" i="3" s="1"/>
  <c r="V28" i="3" l="1"/>
  <c r="T28" i="3"/>
  <c r="R28" i="3"/>
  <c r="P28" i="3"/>
  <c r="N28" i="3"/>
  <c r="L29" i="3" a="1"/>
  <c r="L29" i="3" s="1"/>
  <c r="T27" i="3"/>
  <c r="V27" i="3"/>
  <c r="P27" i="3"/>
  <c r="N27" i="3"/>
  <c r="R27" i="3"/>
  <c r="L30" i="3" l="1" a="1"/>
  <c r="L30" i="3" s="1"/>
  <c r="L31" i="3" s="1" a="1"/>
  <c r="L31" i="3" s="1"/>
  <c r="T29" i="3"/>
  <c r="N29" i="3"/>
  <c r="P29" i="3"/>
  <c r="R29" i="3"/>
  <c r="V29" i="3"/>
  <c r="T30" i="3" l="1"/>
  <c r="R30" i="3"/>
  <c r="N30" i="3"/>
  <c r="V30" i="3"/>
  <c r="P30" i="3"/>
  <c r="L32" i="3" a="1"/>
  <c r="L32" i="3" s="1"/>
  <c r="R32" i="3" s="1"/>
  <c r="V31" i="3"/>
  <c r="N31" i="3"/>
  <c r="P31" i="3"/>
  <c r="R31" i="3"/>
  <c r="T31" i="3"/>
  <c r="V32" i="3" l="1"/>
  <c r="P32" i="3"/>
  <c r="N32" i="3"/>
  <c r="T32" i="3"/>
  <c r="L33" i="3" a="1"/>
  <c r="L33" i="3" s="1"/>
  <c r="L34" i="3" s="1" a="1"/>
  <c r="L34" i="3" s="1"/>
  <c r="L35" i="3" s="1" a="1"/>
  <c r="L35" i="3" s="1"/>
  <c r="L36" i="3" s="1" a="1"/>
  <c r="L36" i="3" s="1"/>
  <c r="L37" i="3" s="1" a="1"/>
  <c r="L37" i="3" s="1"/>
  <c r="L38" i="3" s="1" a="1"/>
  <c r="L38" i="3" s="1"/>
  <c r="L39" i="3" s="1" a="1"/>
  <c r="L39" i="3" s="1"/>
  <c r="L40" i="3" s="1" a="1"/>
  <c r="L40" i="3" s="1"/>
  <c r="L41" i="3" s="1" a="1"/>
  <c r="L41" i="3" s="1"/>
  <c r="L42" i="3" s="1" a="1"/>
  <c r="L42" i="3" s="1"/>
  <c r="L43" i="3" s="1" a="1"/>
  <c r="L43" i="3" s="1"/>
  <c r="L44" i="3" s="1" a="1"/>
  <c r="L44" i="3" s="1"/>
  <c r="L45" i="3" s="1" a="1"/>
  <c r="L45" i="3" s="1"/>
  <c r="L46" i="3" s="1" a="1"/>
  <c r="L46" i="3" s="1"/>
  <c r="L47" i="3" s="1" a="1"/>
  <c r="L47" i="3" s="1"/>
  <c r="L48" i="3" s="1" a="1"/>
  <c r="L48" i="3" s="1"/>
  <c r="L49" i="3" s="1" a="1"/>
  <c r="L49" i="3" s="1"/>
  <c r="V33" i="3" l="1"/>
  <c r="V34" i="3"/>
  <c r="T33" i="3"/>
  <c r="R33" i="3"/>
  <c r="N33" i="3"/>
  <c r="P34" i="3"/>
  <c r="T34" i="3"/>
  <c r="P33" i="3"/>
  <c r="R34" i="3"/>
  <c r="N35" i="3"/>
  <c r="N34" i="3"/>
  <c r="V35" i="3" l="1"/>
  <c r="R35" i="3"/>
  <c r="T37" i="3"/>
  <c r="T35" i="3"/>
  <c r="P35" i="3"/>
  <c r="P37" i="3" l="1"/>
  <c r="N38" i="3"/>
  <c r="R37" i="3"/>
  <c r="N36" i="3"/>
  <c r="N37" i="3"/>
  <c r="V36" i="3"/>
  <c r="V37" i="3"/>
  <c r="T36" i="3"/>
  <c r="R36" i="3"/>
  <c r="P36" i="3"/>
  <c r="N39" i="3" l="1"/>
  <c r="R38" i="3"/>
  <c r="V38" i="3"/>
  <c r="T38" i="3"/>
  <c r="P38" i="3"/>
  <c r="V39" i="3" l="1"/>
  <c r="T39" i="3"/>
  <c r="R39" i="3"/>
  <c r="T40" i="3"/>
  <c r="P39" i="3"/>
  <c r="N40" i="3" l="1"/>
  <c r="P41" i="3"/>
  <c r="V40" i="3"/>
  <c r="R40" i="3"/>
  <c r="P40" i="3"/>
  <c r="P42" i="3" l="1"/>
  <c r="N41" i="3"/>
  <c r="V41" i="3"/>
  <c r="T41" i="3"/>
  <c r="R41" i="3"/>
  <c r="N42" i="3" l="1"/>
  <c r="V42" i="3"/>
  <c r="T42" i="3"/>
  <c r="T43" i="3"/>
  <c r="R42" i="3"/>
  <c r="V43" i="3" l="1"/>
  <c r="R43" i="3"/>
  <c r="P43" i="3"/>
  <c r="N43" i="3"/>
  <c r="V44" i="3" l="1"/>
  <c r="T44" i="3"/>
  <c r="R44" i="3"/>
  <c r="N44" i="3"/>
  <c r="R45" i="3" s="1"/>
  <c r="P44" i="3"/>
  <c r="N45" i="3"/>
  <c r="T45" i="3"/>
  <c r="P45" i="3"/>
  <c r="V45" i="3"/>
  <c r="T46" i="3" l="1"/>
  <c r="V46" i="3" l="1"/>
  <c r="N46" i="3"/>
  <c r="P46" i="3"/>
  <c r="R46" i="3"/>
  <c r="N47" i="3" l="1"/>
  <c r="P47" i="3" l="1"/>
  <c r="P48" i="3" s="1"/>
  <c r="T47" i="3"/>
  <c r="R47" i="3"/>
  <c r="V47" i="3"/>
  <c r="T48" i="3" l="1"/>
  <c r="R48" i="3"/>
  <c r="V48" i="3"/>
  <c r="N48" i="3"/>
  <c r="D28" i="3" l="1"/>
  <c r="D34" i="3"/>
  <c r="D32" i="3"/>
  <c r="D31" i="3"/>
  <c r="D26" i="3"/>
  <c r="D37" i="3"/>
  <c r="D30" i="3"/>
  <c r="D33" i="3"/>
  <c r="D29" i="3"/>
  <c r="D36" i="3"/>
  <c r="D27" i="3"/>
  <c r="D35" i="3"/>
  <c r="B7" i="6"/>
  <c r="B8" i="6"/>
  <c r="B4" i="6"/>
  <c r="B9" i="6"/>
  <c r="B6" i="6"/>
  <c r="B12" i="6"/>
  <c r="B10" i="6"/>
  <c r="B5" i="6"/>
  <c r="B13" i="6"/>
  <c r="B3" i="6"/>
  <c r="D39" i="3"/>
  <c r="B14" i="6"/>
  <c r="B11" i="6"/>
  <c r="H35" i="3" l="1"/>
  <c r="H26" i="3"/>
  <c r="H36" i="3"/>
  <c r="H34" i="3"/>
  <c r="H28" i="3"/>
  <c r="F28" i="3"/>
  <c r="F33" i="3"/>
  <c r="H33" i="3"/>
  <c r="F30" i="3"/>
  <c r="H30" i="3"/>
  <c r="F29" i="3"/>
  <c r="H29" i="3"/>
  <c r="F37" i="3"/>
  <c r="H37" i="3"/>
  <c r="F31" i="3"/>
  <c r="H31" i="3"/>
  <c r="F27" i="3"/>
  <c r="H27" i="3"/>
  <c r="F32" i="3"/>
  <c r="H32" i="3"/>
  <c r="F35" i="3"/>
  <c r="F36" i="3"/>
  <c r="F34" i="3"/>
  <c r="F26" i="3"/>
  <c r="AF12" i="6"/>
  <c r="AF9" i="6"/>
  <c r="AE6" i="6"/>
  <c r="AF14" i="6"/>
  <c r="AF7" i="6"/>
  <c r="AE14" i="6"/>
  <c r="AF13" i="6"/>
  <c r="AE5" i="6"/>
  <c r="AE7" i="6"/>
  <c r="AE10" i="6"/>
  <c r="AF4" i="6"/>
  <c r="AF8" i="6"/>
  <c r="AE4" i="6"/>
  <c r="AF3" i="6"/>
  <c r="AF10" i="6"/>
  <c r="B16" i="6"/>
  <c r="AF6" i="6"/>
  <c r="AF11" i="6"/>
  <c r="AE9" i="6"/>
  <c r="AE13" i="6"/>
  <c r="F39" i="3"/>
  <c r="AE8" i="6"/>
  <c r="H39" i="3"/>
  <c r="AE3" i="6"/>
  <c r="AE12" i="6"/>
  <c r="AE11" i="6"/>
  <c r="AF5" i="6"/>
  <c r="AD3" i="6" l="1"/>
  <c r="AD11" i="6"/>
  <c r="AD8" i="6"/>
  <c r="AD10" i="6"/>
  <c r="AD5" i="6"/>
  <c r="AD12" i="6"/>
  <c r="AD14" i="6"/>
  <c r="AD9" i="6"/>
  <c r="AD13" i="6"/>
  <c r="AD6" i="6"/>
  <c r="AD4" i="6"/>
  <c r="AD7" i="6"/>
  <c r="J34" i="3"/>
  <c r="J28" i="3"/>
  <c r="J32" i="3"/>
  <c r="J31" i="3"/>
  <c r="J33" i="3"/>
  <c r="J37" i="3"/>
  <c r="J30" i="3"/>
  <c r="J35" i="3"/>
  <c r="J26" i="3"/>
  <c r="J36" i="3"/>
  <c r="J27" i="3"/>
  <c r="J29" i="3"/>
  <c r="AD16" i="6"/>
  <c r="J39" i="3"/>
</calcChain>
</file>

<file path=xl/sharedStrings.xml><?xml version="1.0" encoding="utf-8"?>
<sst xmlns="http://schemas.openxmlformats.org/spreadsheetml/2006/main" count="208" uniqueCount="87">
  <si>
    <t>צח</t>
  </si>
  <si>
    <t>דור</t>
  </si>
  <si>
    <t>שי</t>
  </si>
  <si>
    <t>%</t>
  </si>
  <si>
    <t>2נק</t>
  </si>
  <si>
    <t>3נק</t>
  </si>
  <si>
    <t>מהקו</t>
  </si>
  <si>
    <t>ריבאונד</t>
  </si>
  <si>
    <t>חסימות</t>
  </si>
  <si>
    <t>עבירות</t>
  </si>
  <si>
    <t>סחט</t>
  </si>
  <si>
    <t>חסם</t>
  </si>
  <si>
    <t>נח'</t>
  </si>
  <si>
    <t>עב'</t>
  </si>
  <si>
    <t>דק'</t>
  </si>
  <si>
    <t>נק'</t>
  </si>
  <si>
    <t>חט'</t>
  </si>
  <si>
    <t>איב'</t>
  </si>
  <si>
    <t>אס'</t>
  </si>
  <si>
    <t>הת'</t>
  </si>
  <si>
    <t>הג'</t>
  </si>
  <si>
    <t>ס"ה</t>
  </si>
  <si>
    <t>+/-</t>
  </si>
  <si>
    <t>מדד</t>
  </si>
  <si>
    <t/>
  </si>
  <si>
    <t>הת</t>
  </si>
  <si>
    <t>ש</t>
  </si>
  <si>
    <t>usg%</t>
  </si>
  <si>
    <t>זרק</t>
  </si>
  <si>
    <t>קלע</t>
  </si>
  <si>
    <t>ס"ת</t>
  </si>
  <si>
    <t>סחט2</t>
  </si>
  <si>
    <t>אורלן</t>
  </si>
  <si>
    <t>אמינוב</t>
  </si>
  <si>
    <t>יאיר</t>
  </si>
  <si>
    <t>מתן</t>
  </si>
  <si>
    <t>סלם</t>
  </si>
  <si>
    <t xml:space="preserve"> </t>
  </si>
  <si>
    <t>בוחניק</t>
  </si>
  <si>
    <t>X</t>
  </si>
  <si>
    <t>פסגת הדר</t>
  </si>
  <si>
    <t>דקות</t>
  </si>
  <si>
    <t>ספג</t>
  </si>
  <si>
    <t>קלעו</t>
  </si>
  <si>
    <t>ספגו</t>
  </si>
  <si>
    <t>ע"ט</t>
  </si>
  <si>
    <t>גולן</t>
  </si>
  <si>
    <t>ס_ריב</t>
  </si>
  <si>
    <t>% ריבאונד</t>
  </si>
  <si>
    <t>שם</t>
  </si>
  <si>
    <t>מוסבר</t>
  </si>
  <si>
    <t>Away</t>
  </si>
  <si>
    <t>POS</t>
  </si>
  <si>
    <t>Home</t>
  </si>
  <si>
    <t>יריבה</t>
  </si>
  <si>
    <t>לא לשכוח ריבאונד מעונשין O,L 19. קליעה שנייה בעונשין L20</t>
  </si>
  <si>
    <t>V</t>
  </si>
  <si>
    <t>תמיר</t>
  </si>
  <si>
    <t>רוזי</t>
  </si>
  <si>
    <t>נעדר</t>
  </si>
  <si>
    <t>9:11</t>
  </si>
  <si>
    <t>A</t>
  </si>
  <si>
    <t>B</t>
  </si>
  <si>
    <t>C</t>
  </si>
  <si>
    <t>D</t>
  </si>
  <si>
    <t>E</t>
  </si>
  <si>
    <t>F</t>
  </si>
  <si>
    <t>G</t>
  </si>
  <si>
    <t>H</t>
  </si>
  <si>
    <t>I</t>
  </si>
  <si>
    <t>J</t>
  </si>
  <si>
    <t>K</t>
  </si>
  <si>
    <t>L</t>
  </si>
  <si>
    <t>right_corner_3</t>
  </si>
  <si>
    <t>left_corner_3</t>
  </si>
  <si>
    <t>right_45_3</t>
  </si>
  <si>
    <t>left_45_3</t>
  </si>
  <si>
    <t>top_of_the_key</t>
  </si>
  <si>
    <t>right_corner_mid</t>
  </si>
  <si>
    <t>left_corner_mid</t>
  </si>
  <si>
    <t>right_45_mid</t>
  </si>
  <si>
    <t>left_45_mid</t>
  </si>
  <si>
    <t>free_throw_line</t>
  </si>
  <si>
    <t>right_floater</t>
  </si>
  <si>
    <t>left_floater</t>
  </si>
  <si>
    <t>front_floater</t>
  </si>
  <si>
    <t>layup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</si>
</sst>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15" x14ac:knownFonts="1">
    <font>
      <sz val="11"/>
      <color theme="1"/>
      <name val="Arial"/>
      <family val="2"/>
      <scheme val="minor"/>
    </font>
    <font>
      <sz val="8"/>
      <name val="Arial"/>
      <family val="2"/>
      <scheme val="minor"/>
    </font>
    <font>
      <sz val="8"/>
      <color theme="1"/>
      <name val="Arial"/>
      <family val="2"/>
      <scheme val="minor"/>
    </font>
    <font>
      <sz val="10"/>
      <color theme="1"/>
      <name val="Arial"/>
      <family val="2"/>
      <scheme val="minor"/>
    </font>
    <font>
      <sz val="11"/>
      <color theme="0"/>
      <name val="Arial"/>
      <family val="2"/>
      <scheme val="minor"/>
    </font>
    <font>
      <sz val="9"/>
      <color theme="1"/>
      <name val="Arial"/>
      <family val="2"/>
      <scheme val="minor"/>
    </font>
    <font>
      <b/>
      <sz val="11"/>
      <color theme="1"/>
      <name val="Arial"/>
      <family val="2"/>
      <scheme val="minor"/>
    </font>
    <font>
      <sz val="11"/>
      <color theme="0" tint="-0.249977111117893"/>
      <name val="Arial"/>
      <family val="2"/>
      <scheme val="minor"/>
    </font>
    <font>
      <sz val="10"/>
      <color theme="0"/>
      <name val="Courier New"/>
      <family val="3"/>
    </font>
    <font>
      <sz val="11"/>
      <name val="Arial"/>
      <family val="2"/>
      <scheme val="minor"/>
    </font>
    <font>
      <sz val="9"/>
      <name val="Arial"/>
      <family val="2"/>
      <scheme val="minor"/>
    </font>
    <font>
      <b/>
      <u/>
      <sz val="11"/>
      <color theme="1"/>
      <name val="Arial"/>
      <family val="2"/>
      <scheme val="minor"/>
    </font>
    <font>
      <b/>
      <sz val="11"/>
      <name val="Arial"/>
      <family val="2"/>
      <scheme val="minor"/>
    </font>
    <font>
      <b/>
      <sz val="8"/>
      <name val="Arial"/>
      <family val="2"/>
      <scheme val="minor"/>
    </font>
    <font>
      <sz val="11"/>
      <color rgb="FF000000"/>
      <name val="Arial"/>
      <family val="2"/>
    </font>
  </fonts>
  <fills count="7">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2"/>
        <bgColor indexed="64"/>
      </patternFill>
    </fill>
  </fills>
  <borders count="19">
    <border>
      <left/>
      <right/>
      <top/>
      <bottom/>
      <diagonal/>
    </border>
    <border>
      <left style="thin">
        <color indexed="64"/>
      </left>
      <right/>
      <top/>
      <bottom/>
      <diagonal/>
    </border>
    <border>
      <left/>
      <right/>
      <top/>
      <bottom style="thin">
        <color indexed="64"/>
      </bottom>
      <diagonal/>
    </border>
    <border>
      <left/>
      <right style="thin">
        <color indexed="64"/>
      </right>
      <top/>
      <bottom/>
      <diagonal/>
    </border>
    <border>
      <left style="thin">
        <color theme="0"/>
      </left>
      <right style="thin">
        <color theme="0"/>
      </right>
      <top style="thin">
        <color theme="0"/>
      </top>
      <bottom style="thin">
        <color theme="0"/>
      </bottom>
      <diagonal/>
    </border>
    <border>
      <left style="thick">
        <color theme="1"/>
      </left>
      <right style="thick">
        <color theme="1"/>
      </right>
      <top style="thick">
        <color theme="1"/>
      </top>
      <bottom style="thick">
        <color theme="1"/>
      </bottom>
      <diagonal/>
    </border>
    <border>
      <left/>
      <right/>
      <top style="medium">
        <color theme="1"/>
      </top>
      <bottom/>
      <diagonal/>
    </border>
    <border>
      <left style="medium">
        <color theme="1"/>
      </left>
      <right/>
      <top/>
      <bottom/>
      <diagonal/>
    </border>
    <border>
      <left style="medium">
        <color theme="1"/>
      </left>
      <right/>
      <top/>
      <bottom style="medium">
        <color theme="1"/>
      </bottom>
      <diagonal/>
    </border>
    <border>
      <left/>
      <right/>
      <top/>
      <bottom style="medium">
        <color theme="1"/>
      </bottom>
      <diagonal/>
    </border>
    <border>
      <left style="medium">
        <color theme="1"/>
      </left>
      <right/>
      <top style="medium">
        <color theme="1"/>
      </top>
      <bottom/>
      <diagonal/>
    </border>
    <border>
      <left/>
      <right style="medium">
        <color theme="1"/>
      </right>
      <top style="medium">
        <color theme="1"/>
      </top>
      <bottom/>
      <diagonal/>
    </border>
    <border>
      <left/>
      <right style="medium">
        <color theme="1"/>
      </right>
      <top/>
      <bottom/>
      <diagonal/>
    </border>
    <border>
      <left/>
      <right style="medium">
        <color theme="1"/>
      </right>
      <top/>
      <bottom style="medium">
        <color theme="1"/>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96">
    <xf numFmtId="0" fontId="0" fillId="0" borderId="0" xfId="0"/>
    <xf numFmtId="0" fontId="0" fillId="0" borderId="0" xfId="0" applyAlignment="1">
      <alignment horizontal="center" vertical="center"/>
    </xf>
    <xf numFmtId="0" fontId="0" fillId="2" borderId="0" xfId="0" applyFill="1" applyAlignment="1">
      <alignment horizontal="center" vertical="center"/>
    </xf>
    <xf numFmtId="0" fontId="0" fillId="2" borderId="2" xfId="0" applyFill="1" applyBorder="1" applyAlignment="1">
      <alignment horizontal="center" vertical="center"/>
    </xf>
    <xf numFmtId="49" fontId="0" fillId="0" borderId="0" xfId="0" applyNumberFormat="1" applyAlignment="1">
      <alignment horizontal="center" vertical="center"/>
    </xf>
    <xf numFmtId="49" fontId="0" fillId="0" borderId="1" xfId="0" applyNumberFormat="1" applyBorder="1" applyAlignment="1" applyProtection="1">
      <alignment horizontal="center" vertical="center"/>
      <protection locked="0"/>
    </xf>
    <xf numFmtId="1" fontId="0" fillId="0" borderId="0" xfId="0" applyNumberFormat="1" applyAlignment="1">
      <alignment horizontal="center" vertical="center"/>
    </xf>
    <xf numFmtId="2" fontId="0" fillId="0" borderId="0" xfId="0" applyNumberFormat="1" applyAlignment="1">
      <alignment horizontal="center" vertical="center"/>
    </xf>
    <xf numFmtId="49" fontId="2" fillId="0" borderId="0" xfId="0" applyNumberFormat="1" applyFont="1" applyAlignment="1">
      <alignment horizontal="center" vertical="center"/>
    </xf>
    <xf numFmtId="0" fontId="0" fillId="3" borderId="0" xfId="0" applyFill="1" applyAlignment="1">
      <alignment horizontal="center" vertical="center"/>
    </xf>
    <xf numFmtId="1" fontId="0" fillId="0" borderId="0" xfId="0" applyNumberFormat="1" applyAlignment="1" applyProtection="1">
      <alignment horizontal="center" vertical="center"/>
      <protection locked="0"/>
    </xf>
    <xf numFmtId="49" fontId="0" fillId="0" borderId="1" xfId="0" quotePrefix="1" applyNumberFormat="1" applyBorder="1" applyAlignment="1">
      <alignment horizontal="center" vertical="center"/>
    </xf>
    <xf numFmtId="49" fontId="0" fillId="0" borderId="1" xfId="0" applyNumberFormat="1" applyBorder="1" applyAlignment="1">
      <alignment horizontal="center" vertical="center"/>
    </xf>
    <xf numFmtId="1"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1" xfId="0" applyBorder="1" applyAlignment="1" applyProtection="1">
      <alignment horizontal="center" vertical="center"/>
      <protection locked="0"/>
    </xf>
    <xf numFmtId="1" fontId="0" fillId="0" borderId="0" xfId="0" quotePrefix="1" applyNumberFormat="1" applyAlignment="1" applyProtection="1">
      <alignment horizontal="center" vertical="center"/>
      <protection locked="0"/>
    </xf>
    <xf numFmtId="164" fontId="2" fillId="0" borderId="0" xfId="0" applyNumberFormat="1" applyFont="1" applyAlignment="1">
      <alignment horizontal="center" vertical="center"/>
    </xf>
    <xf numFmtId="1" fontId="0" fillId="0" borderId="3" xfId="0" applyNumberFormat="1"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2" fillId="0" borderId="0" xfId="0" applyFont="1" applyAlignment="1">
      <alignment horizontal="center" vertical="center"/>
    </xf>
    <xf numFmtId="164" fontId="0" fillId="0" borderId="0" xfId="0" applyNumberFormat="1" applyAlignment="1">
      <alignment horizontal="center" vertical="center"/>
    </xf>
    <xf numFmtId="165" fontId="3" fillId="0" borderId="0" xfId="0" applyNumberFormat="1" applyFont="1" applyAlignment="1">
      <alignment horizontal="center" vertical="center"/>
    </xf>
    <xf numFmtId="49" fontId="3" fillId="0" borderId="0" xfId="0" applyNumberFormat="1" applyFont="1" applyAlignment="1">
      <alignment horizontal="center" vertical="center"/>
    </xf>
    <xf numFmtId="0" fontId="4" fillId="0" borderId="0" xfId="0" applyFont="1" applyAlignment="1">
      <alignment horizontal="center" vertical="center"/>
    </xf>
    <xf numFmtId="49" fontId="0" fillId="0" borderId="3" xfId="0" applyNumberFormat="1" applyBorder="1" applyAlignment="1">
      <alignment horizontal="center" vertical="center"/>
    </xf>
    <xf numFmtId="1" fontId="0" fillId="0" borderId="3" xfId="0" applyNumberFormat="1" applyBorder="1" applyAlignment="1">
      <alignment horizontal="center" vertical="center"/>
    </xf>
    <xf numFmtId="16" fontId="0" fillId="0" borderId="0" xfId="0" applyNumberFormat="1" applyAlignment="1">
      <alignment horizontal="center" vertical="center"/>
    </xf>
    <xf numFmtId="164" fontId="5" fillId="0" borderId="0" xfId="0" applyNumberFormat="1" applyFont="1" applyAlignment="1">
      <alignment horizontal="center" vertical="center"/>
    </xf>
    <xf numFmtId="0" fontId="0" fillId="0" borderId="4" xfId="0" applyBorder="1" applyAlignment="1">
      <alignment horizontal="center" vertical="center"/>
    </xf>
    <xf numFmtId="49" fontId="0" fillId="0" borderId="4" xfId="0" applyNumberFormat="1" applyBorder="1" applyAlignment="1">
      <alignment horizontal="center" vertical="center"/>
    </xf>
    <xf numFmtId="49" fontId="6" fillId="0" borderId="5" xfId="0" applyNumberFormat="1" applyFont="1" applyBorder="1" applyAlignment="1">
      <alignment horizontal="center" vertical="center"/>
    </xf>
    <xf numFmtId="0" fontId="7" fillId="2" borderId="0" xfId="0" applyFont="1" applyFill="1" applyAlignment="1">
      <alignment horizontal="center" vertical="center"/>
    </xf>
    <xf numFmtId="0" fontId="8" fillId="0" borderId="0" xfId="0" applyFont="1" applyAlignment="1">
      <alignment horizontal="left" vertical="center" wrapText="1"/>
    </xf>
    <xf numFmtId="0" fontId="0" fillId="0" borderId="6" xfId="0" applyBorder="1" applyAlignment="1">
      <alignment horizontal="center" vertical="center"/>
    </xf>
    <xf numFmtId="49" fontId="0" fillId="0" borderId="7" xfId="0" applyNumberFormat="1" applyBorder="1" applyAlignment="1">
      <alignment horizontal="center" vertical="center"/>
    </xf>
    <xf numFmtId="49" fontId="0" fillId="0" borderId="8" xfId="0" applyNumberFormat="1" applyBorder="1" applyAlignment="1">
      <alignment horizontal="center" vertical="center"/>
    </xf>
    <xf numFmtId="49" fontId="0" fillId="0" borderId="9" xfId="0" applyNumberForma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49" fontId="0" fillId="0" borderId="12" xfId="0" applyNumberFormat="1" applyBorder="1" applyAlignment="1">
      <alignment horizontal="center" vertical="center"/>
    </xf>
    <xf numFmtId="0" fontId="0" fillId="0" borderId="7" xfId="0" applyBorder="1" applyAlignment="1">
      <alignment horizontal="center" vertical="center"/>
    </xf>
    <xf numFmtId="2" fontId="0" fillId="0" borderId="9" xfId="0" applyNumberFormat="1" applyBorder="1" applyAlignment="1">
      <alignment horizontal="center" vertical="center"/>
    </xf>
    <xf numFmtId="49" fontId="0" fillId="0" borderId="13" xfId="0" applyNumberFormat="1" applyBorder="1" applyAlignment="1">
      <alignment horizontal="center" vertical="center"/>
    </xf>
    <xf numFmtId="1" fontId="6" fillId="0" borderId="0" xfId="0" applyNumberFormat="1" applyFont="1" applyAlignment="1">
      <alignment horizontal="center" vertical="center"/>
    </xf>
    <xf numFmtId="49" fontId="6" fillId="0" borderId="0" xfId="0" applyNumberFormat="1" applyFont="1" applyAlignment="1">
      <alignment horizontal="center" vertical="center"/>
    </xf>
    <xf numFmtId="0" fontId="0" fillId="0" borderId="0" xfId="0" applyAlignment="1">
      <alignment horizontal="center"/>
    </xf>
    <xf numFmtId="164" fontId="3" fillId="5" borderId="0" xfId="0" applyNumberFormat="1" applyFont="1" applyFill="1" applyAlignment="1">
      <alignment horizontal="center" vertical="center"/>
    </xf>
    <xf numFmtId="164" fontId="3" fillId="4" borderId="0" xfId="0" applyNumberFormat="1" applyFont="1" applyFill="1" applyAlignment="1">
      <alignment horizontal="center" vertical="center"/>
    </xf>
    <xf numFmtId="0" fontId="0" fillId="0" borderId="1" xfId="0" applyBorder="1" applyAlignment="1">
      <alignment horizontal="center" vertical="center"/>
    </xf>
    <xf numFmtId="0" fontId="0" fillId="0" borderId="14" xfId="0" applyBorder="1" applyAlignment="1">
      <alignment horizontal="center" vertical="center"/>
    </xf>
    <xf numFmtId="1" fontId="0" fillId="0" borderId="14" xfId="0" applyNumberFormat="1" applyBorder="1" applyAlignment="1">
      <alignment horizontal="center" vertical="center"/>
    </xf>
    <xf numFmtId="0" fontId="6" fillId="0" borderId="0" xfId="0" applyFont="1" applyAlignment="1">
      <alignment horizontal="center" vertical="center"/>
    </xf>
    <xf numFmtId="0" fontId="6" fillId="0" borderId="14" xfId="0" applyFont="1" applyBorder="1" applyAlignment="1">
      <alignment horizontal="center" vertical="center"/>
    </xf>
    <xf numFmtId="0" fontId="6" fillId="0" borderId="1" xfId="0" applyFont="1" applyBorder="1" applyAlignment="1">
      <alignment horizontal="center" vertical="center"/>
    </xf>
    <xf numFmtId="49" fontId="0" fillId="0" borderId="1" xfId="0" quotePrefix="1" applyNumberFormat="1" applyBorder="1" applyAlignment="1">
      <alignment horizontal="centerContinuous" vertical="center"/>
    </xf>
    <xf numFmtId="49" fontId="0" fillId="0" borderId="0" xfId="0" quotePrefix="1" applyNumberFormat="1" applyAlignment="1">
      <alignment horizontal="centerContinuous" vertical="center"/>
    </xf>
    <xf numFmtId="49" fontId="0" fillId="0" borderId="0" xfId="0" applyNumberFormat="1" applyAlignment="1">
      <alignment horizontal="centerContinuous" vertical="center"/>
    </xf>
    <xf numFmtId="9" fontId="0" fillId="0" borderId="0" xfId="0" applyNumberFormat="1" applyAlignment="1">
      <alignment horizontal="center" vertical="center"/>
    </xf>
    <xf numFmtId="9" fontId="0" fillId="0" borderId="1" xfId="0" applyNumberFormat="1" applyBorder="1" applyAlignment="1">
      <alignment horizontal="center" vertical="center"/>
    </xf>
    <xf numFmtId="49" fontId="6" fillId="4" borderId="0" xfId="0" applyNumberFormat="1" applyFont="1" applyFill="1" applyAlignment="1">
      <alignment horizontal="center" vertical="center"/>
    </xf>
    <xf numFmtId="49" fontId="0" fillId="5" borderId="1" xfId="0" applyNumberFormat="1" applyFill="1" applyBorder="1" applyAlignment="1">
      <alignment horizontal="center" vertical="center"/>
    </xf>
    <xf numFmtId="49" fontId="0" fillId="0" borderId="14" xfId="0" applyNumberFormat="1" applyBorder="1" applyAlignment="1">
      <alignment horizontal="center" vertical="center"/>
    </xf>
    <xf numFmtId="9" fontId="6" fillId="0" borderId="3" xfId="0" applyNumberFormat="1" applyFont="1" applyBorder="1" applyAlignment="1">
      <alignment horizontal="center" vertical="center"/>
    </xf>
    <xf numFmtId="9" fontId="6" fillId="0" borderId="1" xfId="0" applyNumberFormat="1" applyFont="1" applyBorder="1" applyAlignment="1">
      <alignment horizontal="center" vertical="center"/>
    </xf>
    <xf numFmtId="49" fontId="4" fillId="0" borderId="0" xfId="0" applyNumberFormat="1" applyFont="1" applyAlignment="1">
      <alignment horizontal="center" vertical="center"/>
    </xf>
    <xf numFmtId="49" fontId="9" fillId="0" borderId="0" xfId="0" applyNumberFormat="1" applyFont="1" applyAlignment="1">
      <alignment horizontal="center" vertical="center"/>
    </xf>
    <xf numFmtId="0" fontId="10" fillId="0" borderId="0" xfId="0" applyFont="1" applyAlignment="1">
      <alignment horizontal="center"/>
    </xf>
    <xf numFmtId="49" fontId="11" fillId="0" borderId="0" xfId="0" applyNumberFormat="1" applyFont="1" applyAlignment="1">
      <alignment horizontal="center" vertical="center"/>
    </xf>
    <xf numFmtId="0" fontId="3" fillId="0" borderId="0" xfId="0" applyFont="1" applyAlignment="1">
      <alignment horizontal="center" vertical="center"/>
    </xf>
    <xf numFmtId="0" fontId="0" fillId="6" borderId="0" xfId="0" applyFill="1"/>
    <xf numFmtId="1" fontId="9" fillId="0" borderId="0" xfId="0" applyNumberFormat="1" applyFont="1" applyAlignment="1">
      <alignment horizontal="center" vertical="center"/>
    </xf>
    <xf numFmtId="0" fontId="12" fillId="0" borderId="0" xfId="0" applyFont="1" applyAlignment="1">
      <alignment horizontal="center" vertical="center"/>
    </xf>
    <xf numFmtId="49" fontId="12" fillId="0" borderId="0" xfId="0" applyNumberFormat="1" applyFont="1" applyAlignment="1">
      <alignment horizontal="center" vertical="center"/>
    </xf>
    <xf numFmtId="49" fontId="1" fillId="0" borderId="0" xfId="0" applyNumberFormat="1" applyFont="1" applyAlignment="1">
      <alignment horizontal="center" vertical="center"/>
    </xf>
    <xf numFmtId="49" fontId="13" fillId="0" borderId="0" xfId="0" applyNumberFormat="1" applyFont="1" applyAlignment="1">
      <alignment horizontal="center" vertical="center"/>
    </xf>
    <xf numFmtId="164" fontId="10" fillId="0" borderId="0" xfId="0" applyNumberFormat="1" applyFont="1" applyAlignment="1">
      <alignment horizontal="center" vertical="center"/>
    </xf>
    <xf numFmtId="0" fontId="9" fillId="0" borderId="0" xfId="0" applyFont="1"/>
    <xf numFmtId="49" fontId="9" fillId="0" borderId="0" xfId="0" applyNumberFormat="1" applyFont="1" applyAlignment="1">
      <alignment horizontal="center"/>
    </xf>
    <xf numFmtId="1" fontId="9" fillId="0" borderId="0" xfId="0" applyNumberFormat="1" applyFont="1"/>
    <xf numFmtId="0" fontId="9" fillId="0" borderId="0" xfId="0" applyFont="1" applyAlignment="1">
      <alignment horizontal="center" vertical="center"/>
    </xf>
    <xf numFmtId="49" fontId="6" fillId="0" borderId="1" xfId="0" applyNumberFormat="1" applyFont="1" applyBorder="1" applyAlignment="1">
      <alignment horizontal="center" vertical="center"/>
    </xf>
    <xf numFmtId="164" fontId="6" fillId="0" borderId="0" xfId="0" applyNumberFormat="1" applyFont="1" applyAlignment="1">
      <alignment horizontal="center" vertical="center"/>
    </xf>
    <xf numFmtId="0" fontId="0" fillId="2" borderId="0" xfId="0" applyFill="1"/>
    <xf numFmtId="49" fontId="0" fillId="0" borderId="0" xfId="0" applyNumberFormat="1"/>
    <xf numFmtId="49" fontId="3" fillId="0" borderId="14" xfId="0" applyNumberFormat="1" applyFont="1" applyBorder="1" applyAlignment="1">
      <alignment horizontal="center" vertical="center"/>
    </xf>
    <xf numFmtId="49" fontId="0" fillId="0" borderId="0" xfId="0" applyNumberFormat="1" applyAlignment="1">
      <alignment vertical="center"/>
    </xf>
    <xf numFmtId="20" fontId="0" fillId="0" borderId="0" xfId="0" applyNumberFormat="1" applyAlignment="1">
      <alignment horizontal="center" vertical="center"/>
    </xf>
    <xf numFmtId="20" fontId="0" fillId="0" borderId="15" xfId="0" applyNumberFormat="1" applyBorder="1" applyAlignment="1">
      <alignment horizontal="center" vertical="center"/>
    </xf>
    <xf numFmtId="0" fontId="0" fillId="0" borderId="15" xfId="0" applyBorder="1" applyAlignment="1">
      <alignment horizontal="center" vertical="center"/>
    </xf>
    <xf numFmtId="0" fontId="0" fillId="0" borderId="17" xfId="0" applyBorder="1" applyAlignment="1">
      <alignment horizontal="center" vertical="center"/>
    </xf>
    <xf numFmtId="20" fontId="0" fillId="0" borderId="17" xfId="0" applyNumberFormat="1" applyBorder="1" applyAlignment="1">
      <alignment horizontal="center" vertical="center"/>
    </xf>
    <xf numFmtId="0" fontId="0" fillId="0" borderId="16" xfId="0" applyBorder="1" applyAlignment="1">
      <alignment horizontal="center" vertical="center"/>
    </xf>
    <xf numFmtId="0" fontId="0" fillId="0" borderId="18" xfId="0" applyBorder="1" applyAlignment="1">
      <alignment horizontal="center" vertical="center"/>
    </xf>
    <xf numFmtId="20" fontId="0" fillId="0" borderId="16" xfId="0" applyNumberFormat="1" applyBorder="1" applyAlignment="1">
      <alignment horizontal="center" vertical="center"/>
    </xf>
  </cellXfs>
  <cellStyles count="1">
    <cellStyle name="Normal" xfId="0" builtinId="0"/>
  </cellStyles>
  <dxfs count="7">
    <dxf>
      <fill>
        <patternFill>
          <bgColor theme="1"/>
        </patternFill>
      </fill>
    </dxf>
    <dxf>
      <fill>
        <patternFill>
          <bgColor theme="0" tint="-0.34998626667073579"/>
        </patternFill>
      </fill>
    </dxf>
    <dxf>
      <font>
        <color auto="1"/>
      </font>
      <fill>
        <patternFill>
          <bgColor theme="5"/>
        </patternFill>
      </fill>
    </dxf>
    <dxf>
      <font>
        <color rgb="FFFF0000"/>
      </font>
    </dxf>
    <dxf>
      <font>
        <color rgb="FFFF0000"/>
      </font>
    </dxf>
    <dxf>
      <font>
        <color rgb="FFFF0000"/>
      </font>
    </dxf>
    <dxf>
      <font>
        <u val="none"/>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17/10/relationships/person" Target="persons/person1.xml"/><Relationship Id="rId18" Type="http://schemas.microsoft.com/office/2017/10/relationships/person" Target="persons/person6.xml"/><Relationship Id="rId3" Type="http://schemas.openxmlformats.org/officeDocument/2006/relationships/worksheet" Target="worksheets/sheet3.xml"/><Relationship Id="rId21" Type="http://schemas.microsoft.com/office/2017/10/relationships/person" Target="persons/person9.xml"/><Relationship Id="rId7" Type="http://schemas.openxmlformats.org/officeDocument/2006/relationships/sharedStrings" Target="sharedStrings.xml"/><Relationship Id="rId12" Type="http://schemas.microsoft.com/office/2017/10/relationships/person" Target="persons/person0.xml"/><Relationship Id="rId17" Type="http://schemas.microsoft.com/office/2017/10/relationships/person" Target="persons/person5.xml"/><Relationship Id="rId25" Type="http://schemas.microsoft.com/office/2017/10/relationships/person" Target="persons/person.xml"/><Relationship Id="rId2" Type="http://schemas.openxmlformats.org/officeDocument/2006/relationships/worksheet" Target="worksheets/sheet2.xml"/><Relationship Id="rId16" Type="http://schemas.microsoft.com/office/2017/10/relationships/person" Target="persons/person4.xml"/><Relationship Id="rId20" Type="http://schemas.microsoft.com/office/2017/10/relationships/person" Target="persons/person8.xml"/><Relationship Id="rId1" Type="http://schemas.openxmlformats.org/officeDocument/2006/relationships/worksheet" Target="worksheets/sheet1.xml"/><Relationship Id="rId6" Type="http://schemas.openxmlformats.org/officeDocument/2006/relationships/styles" Target="styles.xml"/><Relationship Id="rId24" Type="http://schemas.microsoft.com/office/2017/10/relationships/person" Target="persons/person12.xml"/><Relationship Id="rId5" Type="http://schemas.openxmlformats.org/officeDocument/2006/relationships/theme" Target="theme/theme1.xml"/><Relationship Id="rId15" Type="http://schemas.microsoft.com/office/2017/10/relationships/person" Target="persons/person3.xml"/><Relationship Id="rId23" Type="http://schemas.microsoft.com/office/2017/10/relationships/person" Target="persons/person11.xml"/><Relationship Id="rId10" Type="http://schemas.microsoft.com/office/2006/relationships/vbaProject" Target="vbaProject.bin"/><Relationship Id="rId19" Type="http://schemas.microsoft.com/office/2017/10/relationships/person" Target="persons/person10.xml"/><Relationship Id="rId4" Type="http://schemas.openxmlformats.org/officeDocument/2006/relationships/externalLink" Target="externalLinks/externalLink1.xml"/><Relationship Id="rId9" Type="http://schemas.openxmlformats.org/officeDocument/2006/relationships/customXml" Target="../customXml/item1.xml"/><Relationship Id="rId22" Type="http://schemas.microsoft.com/office/2017/10/relationships/person" Target="persons/person2.xml"/><Relationship Id="rId14" Type="http://schemas.microsoft.com/office/2017/10/relationships/person" Target="persons/person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36</xdr:col>
          <xdr:colOff>158750</xdr:colOff>
          <xdr:row>20</xdr:row>
          <xdr:rowOff>69850</xdr:rowOff>
        </xdr:from>
        <xdr:to>
          <xdr:col>37</xdr:col>
          <xdr:colOff>120650</xdr:colOff>
          <xdr:row>21</xdr:row>
          <xdr:rowOff>88900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he-IL" sz="1100" b="0" i="0" u="none" strike="noStrike" baseline="0">
                  <a:solidFill>
                    <a:srgbClr val="000000"/>
                  </a:solidFill>
                  <a:latin typeface="Arial"/>
                  <a:cs typeface="Arial"/>
                </a:rPr>
                <a:t>לחצן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184150</xdr:colOff>
          <xdr:row>20</xdr:row>
          <xdr:rowOff>38100</xdr:rowOff>
        </xdr:from>
        <xdr:to>
          <xdr:col>39</xdr:col>
          <xdr:colOff>152400</xdr:colOff>
          <xdr:row>21</xdr:row>
          <xdr:rowOff>82550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he-IL" sz="1100" b="0" i="0" u="none" strike="noStrike" baseline="0">
                  <a:solidFill>
                    <a:srgbClr val="000000"/>
                  </a:solidFill>
                  <a:latin typeface="Arial"/>
                  <a:cs typeface="Arial"/>
                </a:rPr>
                <a:t>לחצן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603250</xdr:colOff>
      <xdr:row>22</xdr:row>
      <xdr:rowOff>6350</xdr:rowOff>
    </xdr:to>
    <xdr:sp macro="" textlink="">
      <xdr:nvSpPr>
        <xdr:cNvPr id="2" name="מלבן 1">
          <a:extLst>
            <a:ext uri="{FF2B5EF4-FFF2-40B4-BE49-F238E27FC236}">
              <a16:creationId xmlns:a16="http://schemas.microsoft.com/office/drawing/2014/main" id="{E2FCB103-E8E5-42EB-B13B-2200948110B9}"/>
            </a:ext>
          </a:extLst>
        </xdr:cNvPr>
        <xdr:cNvSpPr/>
      </xdr:nvSpPr>
      <xdr:spPr>
        <a:xfrm>
          <a:off x="11229225700" y="0"/>
          <a:ext cx="8509000" cy="3917950"/>
        </a:xfrm>
        <a:prstGeom prst="rect">
          <a:avLst/>
        </a:prstGeom>
        <a:blipFill dpi="0" rotWithShape="1">
          <a:blip xmlns:r="http://schemas.openxmlformats.org/officeDocument/2006/relationships" r:embed="rId1">
            <a:alphaModFix amt="35000"/>
          </a:blip>
          <a:srcRect/>
          <a:stretch>
            <a:fillRect/>
          </a:stretch>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r" rtl="1"/>
          <a:r>
            <a:rPr lang="he-IL" sz="1100"/>
            <a:t>נ</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htzzt\Downloads\23%20-%20&#1514;&#1508;&#1488;&#1512;&#1514;\24.3.16%20-%20&#1492;.&#1502;.xlsm" TargetMode="External"/><Relationship Id="rId1" Type="http://schemas.openxmlformats.org/officeDocument/2006/relationships/externalLinkPath" Target="file:///C:\Users\htzzt\Downloads\23%20-%20&#1514;&#1508;&#1488;&#1512;&#1514;\24.3.16%20-%20&#1492;.&#15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גיליון1"/>
      <sheetName val="גיליון2"/>
      <sheetName val="גיליון3"/>
    </sheetNames>
    <sheetDataSet>
      <sheetData sheetId="0">
        <row r="1">
          <cell r="D1" t="str">
            <v>2נק</v>
          </cell>
          <cell r="H1" t="str">
            <v>3נק</v>
          </cell>
          <cell r="L1" t="str">
            <v>מהקו</v>
          </cell>
          <cell r="P1" t="str">
            <v>ריבאונד</v>
          </cell>
          <cell r="V1" t="str">
            <v>חסימות</v>
          </cell>
          <cell r="X1" t="str">
            <v>עבירות</v>
          </cell>
        </row>
        <row r="2">
          <cell r="A2" t="str">
            <v>שם</v>
          </cell>
          <cell r="B2" t="str">
            <v>דק'</v>
          </cell>
          <cell r="C2" t="str">
            <v>נק'</v>
          </cell>
          <cell r="D2" t="str">
            <v>ס"ה</v>
          </cell>
          <cell r="E2" t="str">
            <v>זרק</v>
          </cell>
          <cell r="F2" t="str">
            <v>קלע</v>
          </cell>
          <cell r="G2" t="str">
            <v>%</v>
          </cell>
          <cell r="H2" t="str">
            <v>ס"ה</v>
          </cell>
          <cell r="I2" t="str">
            <v>זרק</v>
          </cell>
          <cell r="J2" t="str">
            <v>קלע</v>
          </cell>
          <cell r="K2" t="str">
            <v>%</v>
          </cell>
          <cell r="L2" t="str">
            <v>ס"ה</v>
          </cell>
          <cell r="M2" t="str">
            <v>זרק</v>
          </cell>
          <cell r="N2" t="str">
            <v>קלע</v>
          </cell>
          <cell r="O2" t="str">
            <v>%</v>
          </cell>
          <cell r="P2" t="str">
            <v>הת'</v>
          </cell>
          <cell r="Q2" t="str">
            <v>הג'</v>
          </cell>
          <cell r="R2" t="str">
            <v>ס"ה</v>
          </cell>
          <cell r="S2" t="str">
            <v>אס'</v>
          </cell>
          <cell r="T2" t="str">
            <v>איב'</v>
          </cell>
          <cell r="U2" t="str">
            <v>חט'</v>
          </cell>
          <cell r="V2" t="str">
            <v>חסם</v>
          </cell>
          <cell r="W2" t="str">
            <v>נח'</v>
          </cell>
          <cell r="X2" t="str">
            <v>עב'</v>
          </cell>
          <cell r="Y2" t="str">
            <v>סחט</v>
          </cell>
          <cell r="Z2" t="str">
            <v>סחט2</v>
          </cell>
          <cell r="AA2" t="str">
            <v>ס"ת</v>
          </cell>
          <cell r="AB2" t="str">
            <v>קלע</v>
          </cell>
          <cell r="AC2" t="str">
            <v>+/-</v>
          </cell>
          <cell r="AD2" t="str">
            <v>מדד</v>
          </cell>
          <cell r="AE2" t="str">
            <v>הת</v>
          </cell>
          <cell r="AF2" t="str">
            <v>ש</v>
          </cell>
          <cell r="AG2" t="str">
            <v>usg%</v>
          </cell>
        </row>
        <row r="3">
          <cell r="A3" t="str">
            <v>אורלן</v>
          </cell>
          <cell r="C3">
            <v>4</v>
          </cell>
          <cell r="D3" t="str">
            <v>2/7</v>
          </cell>
          <cell r="G3">
            <v>28.571428571428573</v>
          </cell>
          <cell r="H3" t="str">
            <v>0/1</v>
          </cell>
          <cell r="K3">
            <v>0</v>
          </cell>
          <cell r="L3" t="str">
            <v>0/2</v>
          </cell>
          <cell r="O3">
            <v>0</v>
          </cell>
          <cell r="P3">
            <v>2</v>
          </cell>
          <cell r="Q3">
            <v>6</v>
          </cell>
          <cell r="R3">
            <v>8</v>
          </cell>
          <cell r="S3">
            <v>1</v>
          </cell>
          <cell r="T3">
            <v>1</v>
          </cell>
          <cell r="X3">
            <v>1</v>
          </cell>
          <cell r="Z3">
            <v>1</v>
          </cell>
          <cell r="AC3">
            <v>13</v>
          </cell>
          <cell r="AD3">
            <v>4</v>
          </cell>
          <cell r="AE3">
            <v>52</v>
          </cell>
          <cell r="AG3">
            <v>21</v>
          </cell>
        </row>
        <row r="4">
          <cell r="A4" t="str">
            <v>אלמוג</v>
          </cell>
          <cell r="C4">
            <v>5</v>
          </cell>
          <cell r="D4" t="str">
            <v>1/3</v>
          </cell>
          <cell r="G4">
            <v>33.333333333333336</v>
          </cell>
          <cell r="H4" t="str">
            <v>1/4</v>
          </cell>
          <cell r="K4">
            <v>25</v>
          </cell>
          <cell r="O4" t="str">
            <v/>
          </cell>
          <cell r="Q4">
            <v>2</v>
          </cell>
          <cell r="R4">
            <v>2</v>
          </cell>
          <cell r="S4">
            <v>1</v>
          </cell>
          <cell r="V4">
            <v>1</v>
          </cell>
          <cell r="X4">
            <v>1</v>
          </cell>
          <cell r="AC4">
            <v>10</v>
          </cell>
          <cell r="AD4">
            <v>3</v>
          </cell>
          <cell r="AE4">
            <v>53</v>
          </cell>
          <cell r="AG4">
            <v>15</v>
          </cell>
        </row>
        <row r="5">
          <cell r="A5" t="str">
            <v>אמינוב</v>
          </cell>
          <cell r="C5" t="str">
            <v/>
          </cell>
          <cell r="G5" t="str">
            <v/>
          </cell>
          <cell r="K5" t="str">
            <v/>
          </cell>
          <cell r="O5" t="str">
            <v/>
          </cell>
          <cell r="R5" t="str">
            <v/>
          </cell>
          <cell r="AD5" t="str">
            <v/>
          </cell>
          <cell r="AG5" t="str">
            <v/>
          </cell>
        </row>
        <row r="6">
          <cell r="A6" t="str">
            <v>גולן</v>
          </cell>
          <cell r="C6">
            <v>9</v>
          </cell>
          <cell r="D6" t="str">
            <v>3/4</v>
          </cell>
          <cell r="G6">
            <v>75</v>
          </cell>
          <cell r="H6" t="str">
            <v>1/5</v>
          </cell>
          <cell r="K6">
            <v>20</v>
          </cell>
          <cell r="O6" t="str">
            <v/>
          </cell>
          <cell r="Q6">
            <v>2</v>
          </cell>
          <cell r="R6">
            <v>2</v>
          </cell>
          <cell r="S6">
            <v>4</v>
          </cell>
          <cell r="AC6">
            <v>9</v>
          </cell>
          <cell r="AD6">
            <v>10</v>
          </cell>
          <cell r="AE6">
            <v>46</v>
          </cell>
          <cell r="AG6">
            <v>28</v>
          </cell>
        </row>
        <row r="7">
          <cell r="A7" t="str">
            <v>דובי</v>
          </cell>
          <cell r="C7">
            <v>0</v>
          </cell>
          <cell r="D7" t="str">
            <v>0/1</v>
          </cell>
          <cell r="G7">
            <v>0</v>
          </cell>
          <cell r="H7" t="str">
            <v>0/1</v>
          </cell>
          <cell r="K7">
            <v>0</v>
          </cell>
          <cell r="O7" t="str">
            <v/>
          </cell>
          <cell r="Q7">
            <v>1</v>
          </cell>
          <cell r="R7">
            <v>1</v>
          </cell>
          <cell r="S7">
            <v>1</v>
          </cell>
          <cell r="U7">
            <v>2</v>
          </cell>
          <cell r="X7">
            <v>1</v>
          </cell>
          <cell r="AC7">
            <v>8</v>
          </cell>
          <cell r="AD7">
            <v>1</v>
          </cell>
          <cell r="AE7">
            <v>13</v>
          </cell>
          <cell r="AG7">
            <v>23</v>
          </cell>
        </row>
        <row r="8">
          <cell r="A8" t="str">
            <v>דור</v>
          </cell>
          <cell r="C8">
            <v>14</v>
          </cell>
          <cell r="D8" t="str">
            <v>5/9</v>
          </cell>
          <cell r="G8">
            <v>55.555555555555557</v>
          </cell>
          <cell r="K8" t="str">
            <v/>
          </cell>
          <cell r="L8" t="str">
            <v>4/8</v>
          </cell>
          <cell r="O8">
            <v>50</v>
          </cell>
          <cell r="P8">
            <v>2</v>
          </cell>
          <cell r="Q8">
            <v>5</v>
          </cell>
          <cell r="R8">
            <v>7</v>
          </cell>
          <cell r="T8">
            <v>2</v>
          </cell>
          <cell r="U8">
            <v>4</v>
          </cell>
          <cell r="V8">
            <v>1</v>
          </cell>
          <cell r="X8">
            <v>2</v>
          </cell>
          <cell r="Z8">
            <v>4</v>
          </cell>
          <cell r="AC8">
            <v>16</v>
          </cell>
          <cell r="AD8">
            <v>18</v>
          </cell>
          <cell r="AE8">
            <v>53</v>
          </cell>
          <cell r="AG8">
            <v>28</v>
          </cell>
        </row>
        <row r="9">
          <cell r="A9" t="str">
            <v>סובלמן</v>
          </cell>
          <cell r="C9">
            <v>3</v>
          </cell>
          <cell r="D9" t="str">
            <v>1/2</v>
          </cell>
          <cell r="G9">
            <v>50</v>
          </cell>
          <cell r="H9" t="str">
            <v>0/5</v>
          </cell>
          <cell r="K9">
            <v>0</v>
          </cell>
          <cell r="L9" t="str">
            <v>1/2</v>
          </cell>
          <cell r="O9">
            <v>50</v>
          </cell>
          <cell r="Q9">
            <v>5</v>
          </cell>
          <cell r="R9">
            <v>5</v>
          </cell>
          <cell r="S9">
            <v>1</v>
          </cell>
          <cell r="U9">
            <v>2</v>
          </cell>
          <cell r="X9">
            <v>1</v>
          </cell>
          <cell r="Z9">
            <v>1</v>
          </cell>
          <cell r="AC9">
            <v>14</v>
          </cell>
          <cell r="AD9">
            <v>4</v>
          </cell>
          <cell r="AE9">
            <v>37</v>
          </cell>
          <cell r="AG9">
            <v>24</v>
          </cell>
        </row>
        <row r="10">
          <cell r="A10" t="str">
            <v>סלם</v>
          </cell>
          <cell r="C10" t="str">
            <v/>
          </cell>
          <cell r="G10" t="str">
            <v xml:space="preserve"> </v>
          </cell>
          <cell r="K10" t="str">
            <v/>
          </cell>
          <cell r="O10" t="str">
            <v/>
          </cell>
          <cell r="R10" t="str">
            <v/>
          </cell>
          <cell r="AD10" t="str">
            <v/>
          </cell>
          <cell r="AG10" t="str">
            <v/>
          </cell>
        </row>
        <row r="11">
          <cell r="A11" t="str">
            <v>צח</v>
          </cell>
          <cell r="C11">
            <v>8</v>
          </cell>
          <cell r="D11" t="str">
            <v>1/4</v>
          </cell>
          <cell r="G11">
            <v>25</v>
          </cell>
          <cell r="H11" t="str">
            <v>2/7</v>
          </cell>
          <cell r="K11">
            <v>28.571428571428573</v>
          </cell>
          <cell r="O11" t="str">
            <v/>
          </cell>
          <cell r="P11">
            <v>2</v>
          </cell>
          <cell r="Q11">
            <v>7</v>
          </cell>
          <cell r="R11">
            <v>9</v>
          </cell>
          <cell r="S11">
            <v>2</v>
          </cell>
          <cell r="T11">
            <v>2</v>
          </cell>
          <cell r="U11">
            <v>2</v>
          </cell>
          <cell r="AC11">
            <v>14</v>
          </cell>
          <cell r="AD11">
            <v>11</v>
          </cell>
          <cell r="AE11">
            <v>65</v>
          </cell>
          <cell r="AG11">
            <v>23</v>
          </cell>
        </row>
        <row r="12">
          <cell r="A12" t="str">
            <v>שי</v>
          </cell>
          <cell r="C12">
            <v>2</v>
          </cell>
          <cell r="D12" t="str">
            <v>1/2</v>
          </cell>
          <cell r="G12">
            <v>50</v>
          </cell>
          <cell r="K12" t="str">
            <v/>
          </cell>
          <cell r="L12" t="str">
            <v>0/2</v>
          </cell>
          <cell r="O12">
            <v>0</v>
          </cell>
          <cell r="P12">
            <v>1</v>
          </cell>
          <cell r="Q12">
            <v>4</v>
          </cell>
          <cell r="R12">
            <v>5</v>
          </cell>
          <cell r="S12">
            <v>1</v>
          </cell>
          <cell r="T12">
            <v>1</v>
          </cell>
          <cell r="X12">
            <v>2</v>
          </cell>
          <cell r="Z12">
            <v>2</v>
          </cell>
          <cell r="AC12">
            <v>4</v>
          </cell>
          <cell r="AD12">
            <v>4</v>
          </cell>
          <cell r="AE12">
            <v>26</v>
          </cell>
          <cell r="AG12">
            <v>23</v>
          </cell>
        </row>
        <row r="13">
          <cell r="A13" t="str">
            <v>שיף</v>
          </cell>
          <cell r="D13" t="str">
            <v>0/3</v>
          </cell>
          <cell r="P13">
            <v>1</v>
          </cell>
          <cell r="Q13">
            <v>3</v>
          </cell>
          <cell r="S13">
            <v>4</v>
          </cell>
          <cell r="T13">
            <v>2</v>
          </cell>
          <cell r="U13">
            <v>2</v>
          </cell>
          <cell r="X13">
            <v>2</v>
          </cell>
          <cell r="Z13">
            <v>3</v>
          </cell>
          <cell r="AC13">
            <v>12</v>
          </cell>
          <cell r="AE13">
            <v>50</v>
          </cell>
        </row>
        <row r="15">
          <cell r="B15">
            <v>200</v>
          </cell>
          <cell r="C15">
            <v>45</v>
          </cell>
          <cell r="D15" t="str">
            <v>14/35</v>
          </cell>
          <cell r="G15">
            <v>40</v>
          </cell>
          <cell r="H15" t="str">
            <v>4/23</v>
          </cell>
          <cell r="K15">
            <v>17.391304347826086</v>
          </cell>
          <cell r="L15" t="str">
            <v>5/14</v>
          </cell>
          <cell r="O15">
            <v>35.714285714285715</v>
          </cell>
          <cell r="P15">
            <v>8</v>
          </cell>
          <cell r="Q15">
            <v>35</v>
          </cell>
          <cell r="R15">
            <v>43</v>
          </cell>
          <cell r="S15">
            <v>15</v>
          </cell>
          <cell r="T15">
            <v>8</v>
          </cell>
          <cell r="U15">
            <v>12</v>
          </cell>
          <cell r="V15">
            <v>2</v>
          </cell>
          <cell r="W15">
            <v>0</v>
          </cell>
          <cell r="X15">
            <v>10</v>
          </cell>
          <cell r="Y15">
            <v>11</v>
          </cell>
          <cell r="Z15">
            <v>11</v>
          </cell>
          <cell r="AA15">
            <v>0</v>
          </cell>
          <cell r="AB15">
            <v>0</v>
          </cell>
          <cell r="AC15">
            <v>100</v>
          </cell>
        </row>
        <row r="16">
          <cell r="AE16">
            <v>395</v>
          </cell>
          <cell r="AF16">
            <v>77</v>
          </cell>
        </row>
        <row r="17">
          <cell r="A17" t="str">
            <v>היכל מנורה</v>
          </cell>
          <cell r="C17">
            <v>25</v>
          </cell>
          <cell r="AE17">
            <v>79</v>
          </cell>
        </row>
      </sheetData>
      <sheetData sheetId="1">
        <row r="3">
          <cell r="B3" t="str">
            <v>אמינוב</v>
          </cell>
          <cell r="D3" t="str">
            <v>אמינוב</v>
          </cell>
          <cell r="F3" t="str">
            <v>אמינוב</v>
          </cell>
          <cell r="H3" t="str">
            <v>אמינוב</v>
          </cell>
          <cell r="J3" t="str">
            <v>אמינוב</v>
          </cell>
          <cell r="L3" t="str">
            <v>אמינוב</v>
          </cell>
          <cell r="N3" t="str">
            <v>אמינוב</v>
          </cell>
          <cell r="P3" t="str">
            <v>אמינוב</v>
          </cell>
          <cell r="R3" t="str">
            <v>אמינוב</v>
          </cell>
          <cell r="T3" t="str">
            <v>אמינוב</v>
          </cell>
          <cell r="V3" t="str">
            <v>אמינוב</v>
          </cell>
          <cell r="X3" t="str">
            <v>אמינוב</v>
          </cell>
          <cell r="Z3" t="str">
            <v>אמינוב</v>
          </cell>
          <cell r="AB3" t="str">
            <v>אמינוב</v>
          </cell>
          <cell r="AD3" t="str">
            <v>אמינוב</v>
          </cell>
          <cell r="AF3" t="str">
            <v>אמינוב</v>
          </cell>
          <cell r="AH3" t="str">
            <v>אמינוב</v>
          </cell>
          <cell r="AJ3" t="str">
            <v>אמינוב</v>
          </cell>
          <cell r="AL3" t="str">
            <v>אמינוב</v>
          </cell>
          <cell r="AN3" t="str">
            <v>שיף</v>
          </cell>
          <cell r="AP3" t="str">
            <v>שיף</v>
          </cell>
          <cell r="AR3" t="str">
            <v>שיף</v>
          </cell>
          <cell r="AT3" t="str">
            <v>שיף</v>
          </cell>
          <cell r="AV3" t="str">
            <v>שיף</v>
          </cell>
          <cell r="AX3" t="str">
            <v>שיף</v>
          </cell>
          <cell r="AZ3" t="str">
            <v>שיף</v>
          </cell>
          <cell r="BB3" t="str">
            <v>שיף</v>
          </cell>
          <cell r="BD3" t="str">
            <v>שיף</v>
          </cell>
        </row>
        <row r="4">
          <cell r="B4" t="str">
            <v>צח</v>
          </cell>
          <cell r="D4" t="str">
            <v>צח</v>
          </cell>
          <cell r="F4" t="str">
            <v>צח</v>
          </cell>
          <cell r="H4" t="str">
            <v>צח</v>
          </cell>
          <cell r="J4" t="str">
            <v>צח</v>
          </cell>
          <cell r="L4" t="str">
            <v>צח</v>
          </cell>
          <cell r="N4" t="str">
            <v>צח</v>
          </cell>
          <cell r="P4" t="str">
            <v>צח</v>
          </cell>
          <cell r="R4" t="str">
            <v>סובלמן</v>
          </cell>
          <cell r="T4" t="str">
            <v>סובלמן</v>
          </cell>
          <cell r="V4" t="str">
            <v>סובלמן</v>
          </cell>
          <cell r="X4" t="str">
            <v>סובלמן</v>
          </cell>
          <cell r="Z4" t="str">
            <v>סובלמן</v>
          </cell>
          <cell r="AB4" t="str">
            <v>צח</v>
          </cell>
          <cell r="AD4" t="str">
            <v>צח</v>
          </cell>
          <cell r="AF4" t="str">
            <v>צח</v>
          </cell>
          <cell r="AH4" t="str">
            <v>צח</v>
          </cell>
          <cell r="AJ4" t="str">
            <v>צח</v>
          </cell>
          <cell r="AL4" t="str">
            <v>צח</v>
          </cell>
          <cell r="AN4" t="str">
            <v>צח</v>
          </cell>
          <cell r="AP4" t="str">
            <v>צח</v>
          </cell>
          <cell r="AR4" t="str">
            <v>צח</v>
          </cell>
          <cell r="AT4" t="str">
            <v>צח</v>
          </cell>
          <cell r="AV4" t="str">
            <v>צח</v>
          </cell>
          <cell r="AX4" t="str">
            <v>צח</v>
          </cell>
          <cell r="AZ4" t="str">
            <v>צח</v>
          </cell>
          <cell r="BB4" t="str">
            <v>צח</v>
          </cell>
          <cell r="BD4" t="str">
            <v>סובלמן</v>
          </cell>
        </row>
        <row r="5">
          <cell r="B5" t="str">
            <v>אלמוג</v>
          </cell>
          <cell r="D5" t="str">
            <v>אלמוג</v>
          </cell>
          <cell r="F5" t="str">
            <v>אלמוג</v>
          </cell>
          <cell r="H5" t="str">
            <v>אלמוג</v>
          </cell>
          <cell r="J5" t="str">
            <v>שיף</v>
          </cell>
          <cell r="L5" t="str">
            <v>שיף</v>
          </cell>
          <cell r="N5" t="str">
            <v>שיף</v>
          </cell>
          <cell r="P5" t="str">
            <v>שיף</v>
          </cell>
          <cell r="R5" t="str">
            <v>שיף</v>
          </cell>
          <cell r="T5" t="str">
            <v>שיף</v>
          </cell>
          <cell r="V5" t="str">
            <v>שיף</v>
          </cell>
          <cell r="X5" t="str">
            <v>שיף</v>
          </cell>
          <cell r="Z5" t="str">
            <v>שיף</v>
          </cell>
          <cell r="AB5" t="str">
            <v>שיף</v>
          </cell>
          <cell r="AD5" t="str">
            <v>שי</v>
          </cell>
          <cell r="AF5" t="str">
            <v>שי</v>
          </cell>
          <cell r="AH5" t="str">
            <v>שי</v>
          </cell>
          <cell r="AJ5" t="str">
            <v>דור</v>
          </cell>
          <cell r="AL5" t="str">
            <v>דור</v>
          </cell>
          <cell r="AN5" t="str">
            <v>דור</v>
          </cell>
          <cell r="AP5" t="str">
            <v>דור</v>
          </cell>
          <cell r="AR5" t="str">
            <v>דור</v>
          </cell>
          <cell r="AT5" t="str">
            <v>דור</v>
          </cell>
          <cell r="AV5" t="str">
            <v>דור</v>
          </cell>
          <cell r="AX5" t="str">
            <v>דור</v>
          </cell>
          <cell r="AZ5" t="str">
            <v>דור</v>
          </cell>
          <cell r="BB5" t="str">
            <v>דור</v>
          </cell>
          <cell r="BD5" t="str">
            <v>דור</v>
          </cell>
        </row>
        <row r="6">
          <cell r="B6" t="str">
            <v>דור</v>
          </cell>
          <cell r="D6" t="str">
            <v>דור</v>
          </cell>
          <cell r="F6" t="str">
            <v>דור</v>
          </cell>
          <cell r="H6" t="str">
            <v>דור</v>
          </cell>
          <cell r="J6" t="str">
            <v>דור</v>
          </cell>
          <cell r="L6" t="str">
            <v>דור</v>
          </cell>
          <cell r="N6" t="str">
            <v>דור</v>
          </cell>
          <cell r="P6" t="str">
            <v>דור</v>
          </cell>
          <cell r="R6" t="str">
            <v>דור</v>
          </cell>
          <cell r="T6" t="str">
            <v>דור</v>
          </cell>
          <cell r="V6" t="str">
            <v>אלמוג</v>
          </cell>
          <cell r="X6" t="str">
            <v>אלמוג</v>
          </cell>
          <cell r="Z6" t="str">
            <v>אלמוג</v>
          </cell>
          <cell r="AB6" t="str">
            <v>אלמוג</v>
          </cell>
          <cell r="AD6" t="str">
            <v>אלמוג</v>
          </cell>
          <cell r="AF6" t="str">
            <v>אלמוג</v>
          </cell>
          <cell r="AH6" t="str">
            <v>אלמוג</v>
          </cell>
          <cell r="AJ6" t="str">
            <v>אלמוג</v>
          </cell>
          <cell r="AL6" t="str">
            <v>אלמוג</v>
          </cell>
          <cell r="AN6" t="str">
            <v>אלמוג</v>
          </cell>
          <cell r="AP6" t="str">
            <v>אלמוג</v>
          </cell>
          <cell r="AR6" t="str">
            <v>אלמוג</v>
          </cell>
          <cell r="AT6" t="str">
            <v>אלמוג</v>
          </cell>
          <cell r="AV6" t="str">
            <v>אלמוג</v>
          </cell>
          <cell r="AX6" t="str">
            <v>אלמוג</v>
          </cell>
          <cell r="AZ6" t="str">
            <v>אמינוב</v>
          </cell>
          <cell r="BB6" t="str">
            <v>אמינוב</v>
          </cell>
          <cell r="BD6" t="str">
            <v>אמינוב</v>
          </cell>
        </row>
        <row r="7">
          <cell r="B7" t="str">
            <v>אורלן</v>
          </cell>
          <cell r="D7" t="str">
            <v>אורלן</v>
          </cell>
          <cell r="F7" t="str">
            <v>אורלן</v>
          </cell>
          <cell r="H7" t="str">
            <v>אורלן</v>
          </cell>
          <cell r="J7" t="str">
            <v>שי</v>
          </cell>
          <cell r="L7" t="str">
            <v>שי</v>
          </cell>
          <cell r="N7" t="str">
            <v>שי</v>
          </cell>
          <cell r="P7" t="str">
            <v>שי</v>
          </cell>
          <cell r="R7" t="str">
            <v>אורלן</v>
          </cell>
          <cell r="T7" t="str">
            <v>אורלן</v>
          </cell>
          <cell r="V7" t="str">
            <v>אורלן</v>
          </cell>
          <cell r="X7" t="str">
            <v>אורלן</v>
          </cell>
          <cell r="Z7" t="str">
            <v>אורלן</v>
          </cell>
          <cell r="AB7" t="str">
            <v>אורלן</v>
          </cell>
          <cell r="AD7" t="str">
            <v>אורלן</v>
          </cell>
          <cell r="AF7" t="str">
            <v>אורלן</v>
          </cell>
          <cell r="AH7" t="str">
            <v>אורלן</v>
          </cell>
          <cell r="AJ7" t="str">
            <v>אורלן</v>
          </cell>
          <cell r="AL7" t="str">
            <v>אורלן</v>
          </cell>
          <cell r="AN7" t="str">
            <v>אורלן</v>
          </cell>
          <cell r="AP7" t="str">
            <v>אורלן</v>
          </cell>
          <cell r="AR7" t="str">
            <v>אורלן</v>
          </cell>
          <cell r="AT7" t="str">
            <v>אורלן</v>
          </cell>
          <cell r="AV7" t="str">
            <v>אורלן</v>
          </cell>
          <cell r="AX7" t="str">
            <v>אורלן</v>
          </cell>
          <cell r="AZ7" t="str">
            <v>אורלן</v>
          </cell>
          <cell r="BB7" t="str">
            <v>שי</v>
          </cell>
          <cell r="BD7" t="str">
            <v>שי</v>
          </cell>
        </row>
      </sheetData>
      <sheetData sheetId="2" refreshError="1"/>
    </sheetDataSet>
  </externalBook>
</externalLink>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persons/person3.xml><?xml version="1.0" encoding="utf-8"?>
<personList xmlns="http://schemas.microsoft.com/office/spreadsheetml/2018/threadedcomments" xmlns:x="http://schemas.openxmlformats.org/spreadsheetml/2006/main"/>
</file>

<file path=xl/persons/person4.xml><?xml version="1.0" encoding="utf-8"?>
<personList xmlns="http://schemas.microsoft.com/office/spreadsheetml/2018/threadedcomments" xmlns:x="http://schemas.openxmlformats.org/spreadsheetml/2006/main"/>
</file>

<file path=xl/persons/person5.xml><?xml version="1.0" encoding="utf-8"?>
<personList xmlns="http://schemas.microsoft.com/office/spreadsheetml/2018/threadedcomments" xmlns:x="http://schemas.openxmlformats.org/spreadsheetml/2006/main"/>
</file>

<file path=xl/persons/person6.xml><?xml version="1.0" encoding="utf-8"?>
<personList xmlns="http://schemas.microsoft.com/office/spreadsheetml/2018/threadedcomments" xmlns:x="http://schemas.openxmlformats.org/spreadsheetml/2006/main"/>
</file>

<file path=xl/persons/person7.xml><?xml version="1.0" encoding="utf-8"?>
<personList xmlns="http://schemas.microsoft.com/office/spreadsheetml/2018/threadedcomments" xmlns:x="http://schemas.openxmlformats.org/spreadsheetml/2006/main"/>
</file>

<file path=xl/persons/person8.xml><?xml version="1.0" encoding="utf-8"?>
<personList xmlns="http://schemas.microsoft.com/office/spreadsheetml/2018/threadedcomments" xmlns:x="http://schemas.openxmlformats.org/spreadsheetml/2006/main"/>
</file>

<file path=xl/persons/person9.xml><?xml version="1.0" encoding="utf-8"?>
<personList xmlns="http://schemas.microsoft.com/office/spreadsheetml/2018/threadedcomments" xmlns:x="http://schemas.openxmlformats.org/spreadsheetml/2006/main"/>
</file>

<file path=xl/persons/person10.xml><?xml version="1.0" encoding="utf-8"?>
<personList xmlns="http://schemas.microsoft.com/office/spreadsheetml/2018/threadedcomments" xmlns:x="http://schemas.openxmlformats.org/spreadsheetml/2006/main"/>
</file>

<file path=xl/persons/person11.xml><?xml version="1.0" encoding="utf-8"?>
<personList xmlns="http://schemas.microsoft.com/office/spreadsheetml/2018/threadedcomments" xmlns:x="http://schemas.openxmlformats.org/spreadsheetml/2006/main"/>
</file>

<file path=xl/persons/person12.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715F-C5F7-417A-838E-7A1B3EE6FCC7}">
  <sheetPr codeName="גיליון3"/>
  <dimension ref="A1:BP32"/>
  <sheetViews>
    <sheetView rightToLeft="1" tabSelected="1" zoomScaleNormal="100" workbookViewId="0">
      <pane xSplit="1" topLeftCell="B1" activePane="topRight" state="frozen"/>
      <selection pane="topRight" activeCell="K15" sqref="K15"/>
    </sheetView>
  </sheetViews>
  <sheetFormatPr defaultColWidth="9" defaultRowHeight="14" x14ac:dyDescent="0.3"/>
  <cols>
    <col min="1" max="1" width="8.4140625" style="4" customWidth="1"/>
    <col min="2" max="2" width="4.83203125" style="4" customWidth="1"/>
    <col min="3" max="3" width="4.08203125" style="1" customWidth="1"/>
    <col min="4" max="4" width="5.9140625" style="4" customWidth="1"/>
    <col min="5" max="6" width="3.9140625" style="4" hidden="1" customWidth="1"/>
    <col min="7" max="7" width="5.08203125" style="4" customWidth="1"/>
    <col min="8" max="8" width="5.9140625" style="4" customWidth="1"/>
    <col min="9" max="10" width="3.9140625" style="4" hidden="1" customWidth="1"/>
    <col min="11" max="11" width="5.08203125" style="4" customWidth="1"/>
    <col min="12" max="12" width="5.25" style="4" customWidth="1"/>
    <col min="13" max="14" width="3.9140625" style="4" hidden="1" customWidth="1"/>
    <col min="15" max="15" width="5.08203125" style="4" customWidth="1"/>
    <col min="16" max="29" width="3.9140625" style="4" customWidth="1"/>
    <col min="30" max="30" width="4.4140625" style="4" customWidth="1"/>
    <col min="31" max="32" width="3.9140625" style="4" hidden="1" customWidth="1"/>
    <col min="33" max="33" width="3.9140625" style="4" customWidth="1"/>
    <col min="34" max="34" width="4.4140625" style="4" customWidth="1"/>
    <col min="35" max="35" width="3.9140625" style="4" customWidth="1"/>
    <col min="36" max="36" width="5.25" style="4" customWidth="1"/>
    <col min="37" max="38" width="4.1640625" style="4" customWidth="1"/>
    <col min="39" max="39" width="4.4140625" style="4" customWidth="1"/>
    <col min="40" max="40" width="5.08203125" style="4" customWidth="1"/>
    <col min="41" max="41" width="3.83203125" style="4" customWidth="1"/>
    <col min="42" max="68" width="9" style="87"/>
    <col min="69" max="16384" width="9" style="4"/>
  </cols>
  <sheetData>
    <row r="1" spans="1:68" x14ac:dyDescent="0.3">
      <c r="A1" s="1" t="str">
        <f ca="1">IF(C16&gt;C19,"W",IF(C19&gt;C16,"L","-"))</f>
        <v>-</v>
      </c>
      <c r="D1" s="56" t="s">
        <v>4</v>
      </c>
      <c r="E1" s="57"/>
      <c r="F1" s="57"/>
      <c r="G1" s="58"/>
      <c r="H1" s="56" t="s">
        <v>5</v>
      </c>
      <c r="I1" s="57"/>
      <c r="J1" s="57"/>
      <c r="K1" s="58"/>
      <c r="L1" s="56" t="s">
        <v>6</v>
      </c>
      <c r="M1" s="57"/>
      <c r="N1" s="57"/>
      <c r="O1" s="58"/>
      <c r="P1" s="56" t="s">
        <v>7</v>
      </c>
      <c r="Q1" s="57"/>
      <c r="R1" s="57"/>
      <c r="S1" s="12"/>
      <c r="V1" s="56" t="s">
        <v>8</v>
      </c>
      <c r="W1" s="57"/>
      <c r="X1" s="56" t="s">
        <v>9</v>
      </c>
      <c r="Y1" s="57"/>
      <c r="Z1" s="56"/>
      <c r="AA1" s="57"/>
      <c r="AB1" s="56"/>
      <c r="AC1" s="57"/>
      <c r="AD1" s="12"/>
      <c r="AK1" s="56" t="s">
        <v>47</v>
      </c>
      <c r="AL1" s="56"/>
      <c r="AM1" s="56" t="s">
        <v>48</v>
      </c>
      <c r="AN1" s="56"/>
      <c r="AO1" s="63"/>
    </row>
    <row r="2" spans="1:68" ht="18" customHeight="1" x14ac:dyDescent="0.3">
      <c r="A2" s="4" t="s">
        <v>49</v>
      </c>
      <c r="B2" s="4" t="s">
        <v>14</v>
      </c>
      <c r="C2" s="51" t="s">
        <v>15</v>
      </c>
      <c r="D2" s="12" t="s">
        <v>21</v>
      </c>
      <c r="E2" s="4" t="s">
        <v>28</v>
      </c>
      <c r="F2" s="4" t="s">
        <v>29</v>
      </c>
      <c r="G2" s="4" t="s">
        <v>3</v>
      </c>
      <c r="H2" s="12" t="s">
        <v>21</v>
      </c>
      <c r="I2" s="4" t="s">
        <v>28</v>
      </c>
      <c r="J2" s="4" t="s">
        <v>29</v>
      </c>
      <c r="K2" s="4" t="s">
        <v>3</v>
      </c>
      <c r="L2" s="12" t="s">
        <v>21</v>
      </c>
      <c r="M2" s="4" t="s">
        <v>28</v>
      </c>
      <c r="N2" s="4" t="s">
        <v>29</v>
      </c>
      <c r="O2" s="4" t="s">
        <v>3</v>
      </c>
      <c r="P2" s="12" t="s">
        <v>19</v>
      </c>
      <c r="Q2" s="4" t="s">
        <v>20</v>
      </c>
      <c r="R2" s="4" t="s">
        <v>21</v>
      </c>
      <c r="S2" s="12" t="s">
        <v>18</v>
      </c>
      <c r="T2" s="4" t="s">
        <v>17</v>
      </c>
      <c r="U2" s="4" t="s">
        <v>16</v>
      </c>
      <c r="V2" s="12" t="s">
        <v>11</v>
      </c>
      <c r="W2" s="4" t="s">
        <v>12</v>
      </c>
      <c r="X2" s="12" t="s">
        <v>13</v>
      </c>
      <c r="Y2" s="4" t="s">
        <v>45</v>
      </c>
      <c r="Z2" s="25" t="s">
        <v>10</v>
      </c>
      <c r="AA2" s="4" t="s">
        <v>31</v>
      </c>
      <c r="AB2" s="4" t="s">
        <v>29</v>
      </c>
      <c r="AC2" s="4" t="s">
        <v>30</v>
      </c>
      <c r="AD2" s="11" t="s">
        <v>22</v>
      </c>
      <c r="AE2" s="4" t="s">
        <v>29</v>
      </c>
      <c r="AF2" s="4" t="s">
        <v>42</v>
      </c>
      <c r="AG2" s="4" t="s">
        <v>23</v>
      </c>
      <c r="AH2" s="4" t="s">
        <v>25</v>
      </c>
      <c r="AI2" s="4" t="s">
        <v>26</v>
      </c>
      <c r="AJ2" s="4" t="s">
        <v>27</v>
      </c>
      <c r="AK2" s="12" t="s">
        <v>19</v>
      </c>
      <c r="AL2" s="4" t="s">
        <v>20</v>
      </c>
      <c r="AM2" s="12" t="s">
        <v>19</v>
      </c>
      <c r="AN2" s="4" t="s">
        <v>20</v>
      </c>
      <c r="AO2" s="86" t="s">
        <v>59</v>
      </c>
    </row>
    <row r="3" spans="1:68" x14ac:dyDescent="0.3">
      <c r="A3" s="4" t="s">
        <v>32</v>
      </c>
      <c r="B3" s="1">
        <f ca="1">IF(AO3="X","",SUMIF(גיליון2!$B$26:INDIRECT(ADDRESS(24+COUNTA(A:A)-3,2,4,1,"גיליון2")),גיליון1!A3,גיליון2!$D$26:INDIRECT(ADDRESS(23+COUNTA(A:A)-3,4,4,1,"גיליון2"))))</f>
        <v>0</v>
      </c>
      <c r="C3" s="52">
        <f t="shared" ref="C3:C14" si="0">IF(AO3="X","",IFERROR(_xlfn.NUMBERVALUE(LEFT(D3,SEARCH("/",D3)-1))*2,0)+IFERROR(_xlfn.NUMBERVALUE(LEFT(H3,SEARCH("/",H3)-1))*3,0)+IFERROR(_xlfn.NUMBERVALUE(LEFT(L3,SEARCH("/",L3)-1)),0))</f>
        <v>0</v>
      </c>
      <c r="D3" s="15" t="str">
        <f>IF(E3=0,"",CONCATENATE(F3,"/",E3))</f>
        <v/>
      </c>
      <c r="E3" s="6">
        <f>LEN('גיליון 3'!$K$19)-LEN(SUBSTITUTE('גיליון 3'!$K$19,LOWER(VLOOKUP(גיליון1!$A3,'גיליון 3'!$I:$J,2,0)),""))+F3</f>
        <v>0</v>
      </c>
      <c r="F3" s="10">
        <f>LEN('גיליון 3'!$K$19)-LEN(SUBSTITUTE('גיליון 3'!$K$19,VLOOKUP(גיליון1!$A3,'גיליון 3'!$I:$J,2,0),""))</f>
        <v>0</v>
      </c>
      <c r="G3" s="6" t="str">
        <f t="shared" ref="G3:G14" si="1">IF($AO3="X","",IFERROR(LEFT(D3,FIND("/",D3)-1)*100/RIGHT(D3,LEN(D3)-(FIND("/",D3))),""))</f>
        <v/>
      </c>
      <c r="H3" s="15" t="str">
        <f>IF(I3=0,"",CONCATENATE(J3,"/",I3))</f>
        <v/>
      </c>
      <c r="I3" s="6">
        <f>LEN('גיליון 3'!$K$20)-LEN(SUBSTITUTE('גיליון 3'!$K$20,LOWER(VLOOKUP(גיליון1!$A3,'גיליון 3'!$I:$J,2,0)),""))+J3</f>
        <v>0</v>
      </c>
      <c r="J3" s="10">
        <f>LEN('גיליון 3'!$K$20)-LEN(SUBSTITUTE('גיליון 3'!$K$20,VLOOKUP(גיליון1!$A3,'גיליון 3'!$I:$J,2,0),""))</f>
        <v>0</v>
      </c>
      <c r="K3" s="6" t="str">
        <f t="shared" ref="K3:K9" si="2">IF($AO3="X","",IFERROR(LEFT(H3,FIND("/",H3)-1)*100/RIGHT(H3,LEN(H3)-(FIND("/",H3))),""))</f>
        <v/>
      </c>
      <c r="L3" s="5"/>
      <c r="M3" s="6">
        <f>IFERROR(VALUE(MID(L3,FIND("/",L3)+1,3)),0)</f>
        <v>0</v>
      </c>
      <c r="N3" s="10">
        <f>IFERROR(VALUE(LEFT(L3,FIND("/",L3)-1)),0)</f>
        <v>0</v>
      </c>
      <c r="O3" s="6" t="str">
        <f t="shared" ref="O3:O14" si="3">IF($AO3="X","",IFERROR(LEFT(L3,FIND("/",L3)-1)*100/RIGHT(L3,LEN(L3)-(FIND("/",L3))),""))</f>
        <v/>
      </c>
      <c r="P3" s="13"/>
      <c r="Q3" s="10"/>
      <c r="R3" s="6" t="str">
        <f>IF(P3+Q3=0,"",P3+Q3)</f>
        <v/>
      </c>
      <c r="S3" s="13"/>
      <c r="T3" s="10"/>
      <c r="U3" s="10"/>
      <c r="V3" s="13"/>
      <c r="W3" s="10"/>
      <c r="X3" s="13"/>
      <c r="Y3" s="10"/>
      <c r="Z3" s="26" t="str">
        <f t="shared" ref="Z3:Z14" si="4">IF(SUM(AA3:AC3)=0,"",SUM(AA3:AC3))</f>
        <v/>
      </c>
      <c r="AA3" s="10"/>
      <c r="AB3" s="10"/>
      <c r="AC3" s="18"/>
      <c r="AD3" s="1">
        <f ca="1">IF($AO3="X","",AE3-AF3)</f>
        <v>0</v>
      </c>
      <c r="AE3" s="1">
        <f ca="1">IF(AO3="X","",SUMIF(גיליון2!$B$26:INDIRECT(ADDRESS(24+COUNTA(A:A)-3,2,4,1,"גיליון2")),גיליון1!A3,גיליון2!$F$26:INDIRECT(ADDRESS(23+COUNTA(A:A)-3,6,4,1,"גיליון2"))))</f>
        <v>0</v>
      </c>
      <c r="AF3" s="1">
        <f ca="1">IF(AO3="X","",SUMIF(גיליון2!$B$26:INDIRECT(ADDRESS(24+COUNTA(A:A)-3,2,4,1,"גיליון2")),גיליון1!A3,גיליון2!$H$26:INDIRECT(ADDRESS(23+COUNTA(A:A)-3,8,4,1,"גיליון2"))))</f>
        <v>0</v>
      </c>
      <c r="AG3" s="6">
        <f t="shared" ref="AG3:AG14" si="5">IF(AO3="X","",(C3+P3+Q3+S3+U3+V3+AA3+AB3+AC3)-(IFERROR(RIGHT(D3,LEN(D3)-(FIND("/",D3)))-LEFT(D3,FIND("/",D3)-1),0)+IFERROR(RIGHT(H3,LEN(H3)-(FIND("/",H3)))-LEFT(H3,FIND("/",H3)-1),0)+IFERROR(RIGHT(L3,LEN(L3)-(FIND("/",L3)))-LEFT(L3,FIND("/",L3)-1),0)+W3+T3+X3))</f>
        <v>0</v>
      </c>
      <c r="AH3" s="10"/>
      <c r="AI3" s="6">
        <f t="shared" ref="AI3:AI14" si="6">IF(AO3="X","",E3+I3+S3+T3+AA3)</f>
        <v>0</v>
      </c>
      <c r="AJ3" s="6">
        <f t="shared" ref="AJ3:AJ14" si="7">IF(AO3="X","",IFERROR(100*AI3/AH3,0))</f>
        <v>0</v>
      </c>
      <c r="AK3" s="50"/>
      <c r="AL3" s="1"/>
      <c r="AM3" s="60" t="str">
        <f t="shared" ref="AM3:AN14" si="8">IFERROR(IF(P3*100/AK3=0,"",ROUND(P3*100/AK3,0)/100),"")</f>
        <v/>
      </c>
      <c r="AN3" s="59" t="str">
        <f t="shared" si="8"/>
        <v/>
      </c>
      <c r="AO3" s="12"/>
      <c r="AP3" s="12"/>
    </row>
    <row r="4" spans="1:68" x14ac:dyDescent="0.3">
      <c r="A4" s="4" t="s">
        <v>33</v>
      </c>
      <c r="B4" s="1">
        <f ca="1">IF(AO4="X","",SUMIF(גיליון2!$B$26:INDIRECT(ADDRESS(24+COUNTA(A:A)-3,2,4,1,"גיליון2")),גיליון1!A4,גיליון2!$D$26:INDIRECT(ADDRESS(23+COUNTA(A:A)-3,4,4,1,"גיליון2"))))</f>
        <v>0</v>
      </c>
      <c r="C4" s="52">
        <f t="shared" si="0"/>
        <v>0</v>
      </c>
      <c r="D4" s="15" t="str">
        <f t="shared" ref="D4:D14" si="9">IF(E4=0,"",CONCATENATE(F4,"/",E4))</f>
        <v/>
      </c>
      <c r="E4" s="6">
        <f>LEN('גיליון 3'!$K$19)-LEN(SUBSTITUTE('גיליון 3'!$K$19,LOWER(VLOOKUP(גיליון1!$A4,'גיליון 3'!$I:$J,2,0)),""))+F4</f>
        <v>0</v>
      </c>
      <c r="F4" s="10">
        <f>LEN('גיליון 3'!$K$19)-LEN(SUBSTITUTE('גיליון 3'!$K$19,VLOOKUP(גיליון1!$A4,'גיליון 3'!$I:$J,2,0),""))</f>
        <v>0</v>
      </c>
      <c r="G4" s="6" t="str">
        <f t="shared" si="1"/>
        <v/>
      </c>
      <c r="H4" s="15" t="str">
        <f>IF(I4=0,"",CONCATENATE(J4,"/",I4))</f>
        <v/>
      </c>
      <c r="I4" s="6">
        <f>LEN('גיליון 3'!$K$20)-LEN(SUBSTITUTE('גיליון 3'!$K$20,LOWER(VLOOKUP(גיליון1!$A4,'גיליון 3'!$I:$J,2,0)),""))+J4</f>
        <v>0</v>
      </c>
      <c r="J4" s="10">
        <f>LEN('גיליון 3'!$K$20)-LEN(SUBSTITUTE('גיליון 3'!$K$20,VLOOKUP(גיליון1!$A4,'גיליון 3'!$I:$J,2,0),""))</f>
        <v>0</v>
      </c>
      <c r="K4" s="6" t="str">
        <f t="shared" si="2"/>
        <v/>
      </c>
      <c r="L4" s="5"/>
      <c r="M4" s="6">
        <f>IFERROR(VALUE(MID(L4,FIND("/",L4)+1,3)),0)</f>
        <v>0</v>
      </c>
      <c r="N4" s="10">
        <f>IFERROR(VALUE(LEFT(L4,FIND("/",L4)-1)),0)</f>
        <v>0</v>
      </c>
      <c r="O4" s="6" t="str">
        <f t="shared" si="3"/>
        <v/>
      </c>
      <c r="P4" s="13"/>
      <c r="Q4" s="10"/>
      <c r="R4" s="6" t="str">
        <f>IF(P4+Q4=0,"",P4+Q4)</f>
        <v/>
      </c>
      <c r="S4" s="13"/>
      <c r="T4" s="10"/>
      <c r="U4" s="10"/>
      <c r="V4" s="13"/>
      <c r="W4" s="10"/>
      <c r="X4" s="13"/>
      <c r="Y4" s="10"/>
      <c r="Z4" s="26" t="str">
        <f t="shared" si="4"/>
        <v/>
      </c>
      <c r="AA4" s="10"/>
      <c r="AB4" s="10"/>
      <c r="AC4" s="18"/>
      <c r="AD4" s="1">
        <f t="shared" ref="AD4:AD14" ca="1" si="10">IF($AO4="X","",AE4-AF4)</f>
        <v>0</v>
      </c>
      <c r="AE4" s="1">
        <f ca="1">IF(AO4="X","",SUMIF(גיליון2!$B$26:INDIRECT(ADDRESS(24+COUNTA(A:A)-3,2,4,1,"גיליון2")),גיליון1!A4,גיליון2!$F$26:INDIRECT(ADDRESS(23+COUNTA(A:A)-3,6,4,1,"גיליון2"))))</f>
        <v>0</v>
      </c>
      <c r="AF4" s="1">
        <f ca="1">IF(AO4="X","",SUMIF(גיליון2!$B$26:INDIRECT(ADDRESS(24+COUNTA(A:A)-3,2,4,1,"גיליון2")),גיליון1!A4,גיליון2!$H$26:INDIRECT(ADDRESS(23+COUNTA(A:A)-3,8,4,1,"גיליון2"))))</f>
        <v>0</v>
      </c>
      <c r="AG4" s="6">
        <f t="shared" si="5"/>
        <v>0</v>
      </c>
      <c r="AH4" s="10"/>
      <c r="AI4" s="6">
        <f t="shared" si="6"/>
        <v>0</v>
      </c>
      <c r="AJ4" s="6">
        <f t="shared" si="7"/>
        <v>0</v>
      </c>
      <c r="AK4" s="50"/>
      <c r="AL4" s="1"/>
      <c r="AM4" s="60" t="str">
        <f t="shared" si="8"/>
        <v/>
      </c>
      <c r="AN4" s="59" t="str">
        <f t="shared" si="8"/>
        <v/>
      </c>
      <c r="AO4" s="12"/>
      <c r="AP4" s="12"/>
    </row>
    <row r="5" spans="1:68" x14ac:dyDescent="0.3">
      <c r="A5" s="4" t="s">
        <v>38</v>
      </c>
      <c r="B5" s="1">
        <f ca="1">IF(AO5="X","",SUMIF(גיליון2!$B$26:INDIRECT(ADDRESS(24+COUNTA(A:A)-3,2,4,1,"גיליון2")),גיליון1!A5,גיליון2!$D$26:INDIRECT(ADDRESS(23+COUNTA(A:A)-3,4,4,1,"גיליון2"))))</f>
        <v>0</v>
      </c>
      <c r="C5" s="52">
        <f t="shared" si="0"/>
        <v>0</v>
      </c>
      <c r="D5" s="15" t="str">
        <f t="shared" si="9"/>
        <v/>
      </c>
      <c r="E5" s="6">
        <f>LEN('גיליון 3'!$K$19)-LEN(SUBSTITUTE('גיליון 3'!$K$19,LOWER(VLOOKUP(גיליון1!$A5,'גיליון 3'!$I:$J,2,0)),""))+F5</f>
        <v>0</v>
      </c>
      <c r="F5" s="10">
        <f>LEN('גיליון 3'!$K$19)-LEN(SUBSTITUTE('גיליון 3'!$K$19,VLOOKUP(גיליון1!$A5,'גיליון 3'!$I:$J,2,0),""))</f>
        <v>0</v>
      </c>
      <c r="G5" s="6" t="str">
        <f t="shared" si="1"/>
        <v/>
      </c>
      <c r="H5" s="15" t="str">
        <f>IF(I5=0,"",CONCATENATE(J5,"/",I5))</f>
        <v/>
      </c>
      <c r="I5" s="6">
        <f>LEN('גיליון 3'!$K$20)-LEN(SUBSTITUTE('גיליון 3'!$K$20,LOWER(VLOOKUP(גיליון1!$A5,'גיליון 3'!$I:$J,2,0)),""))+J5</f>
        <v>0</v>
      </c>
      <c r="J5" s="10">
        <f>LEN('גיליון 3'!$K$20)-LEN(SUBSTITUTE('גיליון 3'!$K$20,VLOOKUP(גיליון1!$A5,'גיליון 3'!$I:$J,2,0),""))</f>
        <v>0</v>
      </c>
      <c r="K5" s="6" t="str">
        <f t="shared" si="2"/>
        <v/>
      </c>
      <c r="L5" s="5"/>
      <c r="M5" s="6">
        <f t="shared" ref="M5:M14" si="11">IFERROR(VALUE(MID(L5,FIND("/",L5)+1,3)),0)</f>
        <v>0</v>
      </c>
      <c r="N5" s="10">
        <f t="shared" ref="N5:N14" si="12">IFERROR(VALUE(LEFT(L5,FIND("/",L5)-1)),0)</f>
        <v>0</v>
      </c>
      <c r="O5" s="6" t="str">
        <f t="shared" si="3"/>
        <v/>
      </c>
      <c r="P5" s="13"/>
      <c r="Q5" s="10"/>
      <c r="R5" s="6" t="str">
        <f t="shared" ref="R5:R14" si="13">IF(P5+Q5=0,"",P5+Q5)</f>
        <v/>
      </c>
      <c r="S5" s="13"/>
      <c r="T5" s="16"/>
      <c r="U5" s="10"/>
      <c r="V5" s="13"/>
      <c r="W5" s="10"/>
      <c r="X5" s="13"/>
      <c r="Y5" s="10"/>
      <c r="Z5" s="26" t="str">
        <f t="shared" si="4"/>
        <v/>
      </c>
      <c r="AA5" s="10"/>
      <c r="AB5" s="10"/>
      <c r="AC5" s="18"/>
      <c r="AD5" s="1">
        <f t="shared" ca="1" si="10"/>
        <v>0</v>
      </c>
      <c r="AE5" s="1">
        <f ca="1">IF(AO5="X","",SUMIF(גיליון2!$B$26:INDIRECT(ADDRESS(24+COUNTA(A:A)-3,2,4,1,"גיליון2")),גיליון1!A5,גיליון2!$F$26:INDIRECT(ADDRESS(23+COUNTA(A:A)-3,6,4,1,"גיליון2"))))</f>
        <v>0</v>
      </c>
      <c r="AF5" s="1">
        <f ca="1">IF(AO5="X","",SUMIF(גיליון2!$B$26:INDIRECT(ADDRESS(24+COUNTA(A:A)-3,2,4,1,"גיליון2")),גיליון1!A5,גיליון2!$H$26:INDIRECT(ADDRESS(23+COUNTA(A:A)-3,8,4,1,"גיליון2"))))</f>
        <v>0</v>
      </c>
      <c r="AG5" s="6">
        <f t="shared" si="5"/>
        <v>0</v>
      </c>
      <c r="AH5" s="10"/>
      <c r="AI5" s="6">
        <f t="shared" si="6"/>
        <v>0</v>
      </c>
      <c r="AJ5" s="6">
        <f t="shared" si="7"/>
        <v>0</v>
      </c>
      <c r="AK5" s="50"/>
      <c r="AL5" s="1"/>
      <c r="AM5" s="60" t="str">
        <f t="shared" si="8"/>
        <v/>
      </c>
      <c r="AN5" s="59" t="str">
        <f t="shared" si="8"/>
        <v/>
      </c>
      <c r="AO5" s="12"/>
      <c r="AP5" s="12"/>
      <c r="AQ5" s="87" t="s">
        <v>60</v>
      </c>
    </row>
    <row r="6" spans="1:68" x14ac:dyDescent="0.3">
      <c r="A6" s="4" t="s">
        <v>46</v>
      </c>
      <c r="B6" s="1">
        <f ca="1">IF(AO6="X","",SUMIF(גיליון2!$B$26:INDIRECT(ADDRESS(24+COUNTA(A:A)-3,2,4,1,"גיליון2")),גיליון1!A6,גיליון2!$D$26:INDIRECT(ADDRESS(23+COUNTA(A:A)-3,4,4,1,"גיליון2"))))</f>
        <v>0</v>
      </c>
      <c r="C6" s="52">
        <f t="shared" si="0"/>
        <v>0</v>
      </c>
      <c r="D6" s="15" t="str">
        <f t="shared" si="9"/>
        <v/>
      </c>
      <c r="E6" s="6">
        <f>LEN('גיליון 3'!$K$19)-LEN(SUBSTITUTE('גיליון 3'!$K$19,LOWER(VLOOKUP(גיליון1!$A6,'גיליון 3'!$I:$J,2,0)),""))+F6</f>
        <v>0</v>
      </c>
      <c r="F6" s="10">
        <f>LEN('גיליון 3'!$K$19)-LEN(SUBSTITUTE('גיליון 3'!$K$19,VLOOKUP(גיליון1!$A6,'גיליון 3'!$I:$J,2,0),""))</f>
        <v>0</v>
      </c>
      <c r="G6" s="6" t="str">
        <f t="shared" si="1"/>
        <v/>
      </c>
      <c r="H6" s="15" t="str">
        <f t="shared" ref="H6:H14" si="14">IF(I6=0,"",CONCATENATE(J6,"/",I6))</f>
        <v/>
      </c>
      <c r="I6" s="6">
        <f>LEN('גיליון 3'!$K$20)-LEN(SUBSTITUTE('גיליון 3'!$K$20,LOWER(VLOOKUP(גיליון1!$A6,'גיליון 3'!$I:$J,2,0)),""))+J6</f>
        <v>0</v>
      </c>
      <c r="J6" s="10">
        <f>LEN('גיליון 3'!$K$20)-LEN(SUBSTITUTE('גיליון 3'!$K$20,VLOOKUP(גיליון1!$A6,'גיליון 3'!$I:$J,2,0),""))</f>
        <v>0</v>
      </c>
      <c r="K6" s="6" t="str">
        <f t="shared" si="2"/>
        <v/>
      </c>
      <c r="L6" s="5"/>
      <c r="M6" s="6">
        <f t="shared" si="11"/>
        <v>0</v>
      </c>
      <c r="N6" s="10">
        <f t="shared" si="12"/>
        <v>0</v>
      </c>
      <c r="O6" s="6" t="str">
        <f t="shared" si="3"/>
        <v/>
      </c>
      <c r="P6" s="13"/>
      <c r="Q6" s="10"/>
      <c r="R6" s="6" t="str">
        <f t="shared" si="13"/>
        <v/>
      </c>
      <c r="S6" s="13"/>
      <c r="T6" s="16"/>
      <c r="U6" s="10"/>
      <c r="V6" s="13"/>
      <c r="W6" s="10"/>
      <c r="X6" s="13"/>
      <c r="Y6" s="10"/>
      <c r="Z6" s="26" t="str">
        <f t="shared" si="4"/>
        <v/>
      </c>
      <c r="AA6" s="10"/>
      <c r="AB6" s="10"/>
      <c r="AC6" s="18"/>
      <c r="AD6" s="1">
        <f t="shared" ca="1" si="10"/>
        <v>0</v>
      </c>
      <c r="AE6" s="1">
        <f ca="1">IF(AO6="X","",SUMIF(גיליון2!$B$26:INDIRECT(ADDRESS(24+COUNTA(A:A)-3,2,4,1,"גיליון2")),גיליון1!A6,גיליון2!$F$26:INDIRECT(ADDRESS(23+COUNTA(A:A)-3,6,4,1,"גיליון2"))))</f>
        <v>0</v>
      </c>
      <c r="AF6" s="1">
        <f ca="1">IF(AO6="X","",SUMIF(גיליון2!$B$26:INDIRECT(ADDRESS(24+COUNTA(A:A)-3,2,4,1,"גיליון2")),גיליון1!A6,גיליון2!$H$26:INDIRECT(ADDRESS(23+COUNTA(A:A)-3,8,4,1,"גיליון2"))))</f>
        <v>0</v>
      </c>
      <c r="AG6" s="6">
        <f t="shared" si="5"/>
        <v>0</v>
      </c>
      <c r="AH6" s="10"/>
      <c r="AI6" s="6">
        <f t="shared" si="6"/>
        <v>0</v>
      </c>
      <c r="AJ6" s="6">
        <f t="shared" si="7"/>
        <v>0</v>
      </c>
      <c r="AK6" s="50"/>
      <c r="AL6" s="1"/>
      <c r="AM6" s="60" t="str">
        <f t="shared" si="8"/>
        <v/>
      </c>
      <c r="AN6" s="59" t="str">
        <f t="shared" si="8"/>
        <v/>
      </c>
      <c r="AO6" s="12"/>
      <c r="AP6" s="12"/>
      <c r="AQ6" s="87" t="s">
        <v>60</v>
      </c>
    </row>
    <row r="7" spans="1:68" x14ac:dyDescent="0.3">
      <c r="A7" s="4" t="s">
        <v>1</v>
      </c>
      <c r="B7" s="1">
        <f ca="1">IF(AO7="X","",SUMIF(גיליון2!$B$26:INDIRECT(ADDRESS(24+COUNTA(A:A)-3,2,4,1,"גיליון2")),גיליון1!A7,גיליון2!$D$26:INDIRECT(ADDRESS(23+COUNTA(A:A)-3,4,4,1,"גיליון2"))))</f>
        <v>0</v>
      </c>
      <c r="C7" s="52">
        <f t="shared" si="0"/>
        <v>0</v>
      </c>
      <c r="D7" s="15" t="str">
        <f t="shared" si="9"/>
        <v/>
      </c>
      <c r="E7" s="6">
        <f>LEN('גיליון 3'!$K$19)-LEN(SUBSTITUTE('גיליון 3'!$K$19,LOWER(VLOOKUP(גיליון1!$A7,'גיליון 3'!$I:$J,2,0)),""))+F7</f>
        <v>0</v>
      </c>
      <c r="F7" s="10">
        <f>LEN('גיליון 3'!$K$19)-LEN(SUBSTITUTE('גיליון 3'!$K$19,VLOOKUP(גיליון1!$A7,'גיליון 3'!$I:$J,2,0),""))</f>
        <v>0</v>
      </c>
      <c r="G7" s="6" t="str">
        <f t="shared" si="1"/>
        <v/>
      </c>
      <c r="H7" s="15" t="str">
        <f t="shared" si="14"/>
        <v/>
      </c>
      <c r="I7" s="6">
        <f>LEN('גיליון 3'!$K$20)-LEN(SUBSTITUTE('גיליון 3'!$K$20,LOWER(VLOOKUP(גיליון1!$A7,'גיליון 3'!$I:$J,2,0)),""))+J7</f>
        <v>0</v>
      </c>
      <c r="J7" s="10">
        <f>LEN('גיליון 3'!$K$20)-LEN(SUBSTITUTE('גיליון 3'!$K$20,VLOOKUP(גיליון1!$A7,'גיליון 3'!$I:$J,2,0),""))</f>
        <v>0</v>
      </c>
      <c r="K7" s="6" t="str">
        <f t="shared" si="2"/>
        <v/>
      </c>
      <c r="L7" s="5"/>
      <c r="M7" s="6">
        <f t="shared" si="11"/>
        <v>0</v>
      </c>
      <c r="N7" s="10">
        <f t="shared" si="12"/>
        <v>0</v>
      </c>
      <c r="O7" s="6" t="str">
        <f t="shared" si="3"/>
        <v/>
      </c>
      <c r="P7" s="13"/>
      <c r="Q7" s="10"/>
      <c r="R7" s="6" t="str">
        <f t="shared" si="13"/>
        <v/>
      </c>
      <c r="S7" s="13"/>
      <c r="T7" s="14"/>
      <c r="U7" s="10"/>
      <c r="V7" s="13"/>
      <c r="W7" s="10"/>
      <c r="X7" s="13"/>
      <c r="Y7" s="10"/>
      <c r="Z7" s="26" t="str">
        <f t="shared" si="4"/>
        <v/>
      </c>
      <c r="AA7" s="10"/>
      <c r="AB7" s="10"/>
      <c r="AC7" s="19"/>
      <c r="AD7" s="1">
        <f t="shared" ca="1" si="10"/>
        <v>0</v>
      </c>
      <c r="AE7" s="1">
        <f ca="1">IF(AO7="X","",SUMIF(גיליון2!$B$26:INDIRECT(ADDRESS(24+COUNTA(A:A)-3,2,4,1,"גיליון2")),גיליון1!A7,גיליון2!$F$26:INDIRECT(ADDRESS(23+COUNTA(A:A)-3,6,4,1,"גיליון2"))))</f>
        <v>0</v>
      </c>
      <c r="AF7" s="1">
        <f ca="1">IF(AO7="X","",SUMIF(גיליון2!$B$26:INDIRECT(ADDRESS(24+COUNTA(A:A)-3,2,4,1,"גיליון2")),גיליון1!A7,גיליון2!$H$26:INDIRECT(ADDRESS(23+COUNTA(A:A)-3,8,4,1,"גיליון2"))))</f>
        <v>0</v>
      </c>
      <c r="AG7" s="6">
        <f t="shared" si="5"/>
        <v>0</v>
      </c>
      <c r="AH7" s="10"/>
      <c r="AI7" s="6">
        <f t="shared" si="6"/>
        <v>0</v>
      </c>
      <c r="AJ7" s="6">
        <f t="shared" si="7"/>
        <v>0</v>
      </c>
      <c r="AK7" s="50"/>
      <c r="AL7" s="1"/>
      <c r="AM7" s="60" t="str">
        <f t="shared" si="8"/>
        <v/>
      </c>
      <c r="AN7" s="59" t="str">
        <f t="shared" si="8"/>
        <v/>
      </c>
      <c r="AO7" s="12"/>
      <c r="AP7" s="12"/>
    </row>
    <row r="8" spans="1:68" x14ac:dyDescent="0.3">
      <c r="A8" s="4" t="s">
        <v>34</v>
      </c>
      <c r="B8" s="1">
        <f ca="1">IF(AO8="X","",SUMIF(גיליון2!$B$26:INDIRECT(ADDRESS(24+COUNTA(A:A)-3,2,4,1,"גיליון2")),גיליון1!A8,גיליון2!$D$26:INDIRECT(ADDRESS(23+COUNTA(A:A)-3,4,4,1,"גיליון2"))))</f>
        <v>0</v>
      </c>
      <c r="C8" s="52">
        <f t="shared" si="0"/>
        <v>0</v>
      </c>
      <c r="D8" s="15" t="str">
        <f t="shared" si="9"/>
        <v/>
      </c>
      <c r="E8" s="6">
        <f>LEN('גיליון 3'!$K$19)-LEN(SUBSTITUTE('גיליון 3'!$K$19,LOWER(VLOOKUP(גיליון1!$A8,'גיליון 3'!$I:$J,2,0)),""))+F8</f>
        <v>0</v>
      </c>
      <c r="F8" s="10">
        <f>LEN('גיליון 3'!$K$19)-LEN(SUBSTITUTE('גיליון 3'!$K$19,VLOOKUP(גיליון1!$A8,'גיליון 3'!$I:$J,2,0),""))</f>
        <v>0</v>
      </c>
      <c r="G8" s="6" t="str">
        <f t="shared" si="1"/>
        <v/>
      </c>
      <c r="H8" s="15" t="str">
        <f t="shared" si="14"/>
        <v/>
      </c>
      <c r="I8" s="6">
        <f>LEN('גיליון 3'!$K$20)-LEN(SUBSTITUTE('גיליון 3'!$K$20,LOWER(VLOOKUP(גיליון1!$A8,'גיליון 3'!$I:$J,2,0)),""))+J8</f>
        <v>0</v>
      </c>
      <c r="J8" s="10">
        <f>LEN('גיליון 3'!$K$20)-LEN(SUBSTITUTE('גיליון 3'!$K$20,VLOOKUP(גיליון1!$A8,'גיליון 3'!$I:$J,2,0),""))</f>
        <v>0</v>
      </c>
      <c r="K8" s="6" t="str">
        <f t="shared" si="2"/>
        <v/>
      </c>
      <c r="L8" s="5"/>
      <c r="M8" s="6">
        <f t="shared" si="11"/>
        <v>0</v>
      </c>
      <c r="N8" s="10">
        <f t="shared" si="12"/>
        <v>0</v>
      </c>
      <c r="O8" s="6" t="str">
        <f t="shared" si="3"/>
        <v/>
      </c>
      <c r="P8" s="13"/>
      <c r="Q8" s="10"/>
      <c r="R8" s="6" t="str">
        <f t="shared" si="13"/>
        <v/>
      </c>
      <c r="S8" s="13"/>
      <c r="T8" s="14"/>
      <c r="U8" s="10"/>
      <c r="V8" s="13"/>
      <c r="W8" s="10"/>
      <c r="X8" s="13"/>
      <c r="Y8" s="10"/>
      <c r="Z8" s="26" t="str">
        <f t="shared" si="4"/>
        <v/>
      </c>
      <c r="AA8" s="10"/>
      <c r="AB8" s="10"/>
      <c r="AC8" s="19"/>
      <c r="AD8" s="1">
        <f t="shared" ca="1" si="10"/>
        <v>0</v>
      </c>
      <c r="AE8" s="1">
        <f ca="1">IF(AO8="X","",SUMIF(גיליון2!$B$26:INDIRECT(ADDRESS(24+COUNTA(A:A)-3,2,4,1,"גיליון2")),גיליון1!A8,גיליון2!$F$26:INDIRECT(ADDRESS(23+COUNTA(A:A)-3,6,4,1,"גיליון2"))))</f>
        <v>0</v>
      </c>
      <c r="AF8" s="1">
        <f ca="1">IF(AO8="X","",SUMIF(גיליון2!$B$26:INDIRECT(ADDRESS(24+COUNTA(A:A)-3,2,4,1,"גיליון2")),גיליון1!A8,גיליון2!$H$26:INDIRECT(ADDRESS(23+COUNTA(A:A)-3,8,4,1,"גיליון2"))))</f>
        <v>0</v>
      </c>
      <c r="AG8" s="6">
        <f t="shared" si="5"/>
        <v>0</v>
      </c>
      <c r="AH8" s="10"/>
      <c r="AI8" s="6">
        <f t="shared" si="6"/>
        <v>0</v>
      </c>
      <c r="AJ8" s="6">
        <f t="shared" si="7"/>
        <v>0</v>
      </c>
      <c r="AK8" s="50"/>
      <c r="AL8" s="1"/>
      <c r="AM8" s="60" t="str">
        <f t="shared" si="8"/>
        <v/>
      </c>
      <c r="AN8" s="59" t="str">
        <f t="shared" si="8"/>
        <v/>
      </c>
      <c r="AO8" s="12"/>
      <c r="AP8" s="12"/>
    </row>
    <row r="9" spans="1:68" x14ac:dyDescent="0.3">
      <c r="A9" s="4" t="s">
        <v>35</v>
      </c>
      <c r="B9" s="1">
        <f ca="1">IF(AO9="X","",SUMIF(גיליון2!$B$26:INDIRECT(ADDRESS(24+COUNTA(A:A)-3,2,4,1,"גיליון2")),גיליון1!A9,גיליון2!$D$26:INDIRECT(ADDRESS(23+COUNTA(A:A)-3,4,4,1,"גיליון2"))))</f>
        <v>0</v>
      </c>
      <c r="C9" s="52">
        <f t="shared" si="0"/>
        <v>0</v>
      </c>
      <c r="D9" s="15" t="str">
        <f t="shared" si="9"/>
        <v/>
      </c>
      <c r="E9" s="6">
        <f>LEN('גיליון 3'!$K$19)-LEN(SUBSTITUTE('גיליון 3'!$K$19,LOWER(VLOOKUP(גיליון1!$A9,'גיליון 3'!$I:$J,2,0)),""))+F9</f>
        <v>0</v>
      </c>
      <c r="F9" s="10">
        <f>LEN('גיליון 3'!$K$19)-LEN(SUBSTITUTE('גיליון 3'!$K$19,VLOOKUP(גיליון1!$A9,'גיליון 3'!$I:$J,2,0),""))</f>
        <v>0</v>
      </c>
      <c r="G9" s="6" t="str">
        <f t="shared" si="1"/>
        <v/>
      </c>
      <c r="H9" s="15" t="str">
        <f t="shared" si="14"/>
        <v/>
      </c>
      <c r="I9" s="6">
        <f>LEN('גיליון 3'!$K$20)-LEN(SUBSTITUTE('גיליון 3'!$K$20,LOWER(VLOOKUP(גיליון1!$A9,'גיליון 3'!$I:$J,2,0)),""))+J9</f>
        <v>0</v>
      </c>
      <c r="J9" s="10">
        <f>LEN('גיליון 3'!$K$20)-LEN(SUBSTITUTE('גיליון 3'!$K$20,VLOOKUP(גיליון1!$A9,'גיליון 3'!$I:$J,2,0),""))</f>
        <v>0</v>
      </c>
      <c r="K9" s="6" t="str">
        <f t="shared" si="2"/>
        <v/>
      </c>
      <c r="L9" s="5"/>
      <c r="M9" s="6">
        <f t="shared" si="11"/>
        <v>0</v>
      </c>
      <c r="N9" s="10">
        <f t="shared" si="12"/>
        <v>0</v>
      </c>
      <c r="O9" s="6" t="str">
        <f t="shared" si="3"/>
        <v/>
      </c>
      <c r="P9" s="15"/>
      <c r="Q9" s="10"/>
      <c r="R9" s="6" t="str">
        <f>IF(P9+Q9=0,"",P9+Q9)</f>
        <v/>
      </c>
      <c r="S9" s="13"/>
      <c r="T9" s="10"/>
      <c r="U9" s="10"/>
      <c r="V9" s="13"/>
      <c r="W9" s="10"/>
      <c r="X9" s="13"/>
      <c r="Y9" s="10"/>
      <c r="Z9" s="26" t="str">
        <f t="shared" si="4"/>
        <v/>
      </c>
      <c r="AA9" s="10"/>
      <c r="AB9" s="10"/>
      <c r="AC9" s="18"/>
      <c r="AD9" s="1">
        <f t="shared" ca="1" si="10"/>
        <v>0</v>
      </c>
      <c r="AE9" s="1">
        <f ca="1">IF(AO9="X","",SUMIF(גיליון2!$B$26:INDIRECT(ADDRESS(24+COUNTA(A:A)-3,2,4,1,"גיליון2")),גיליון1!A9,גיליון2!$F$26:INDIRECT(ADDRESS(23+COUNTA(A:A)-3,6,4,1,"גיליון2"))))</f>
        <v>0</v>
      </c>
      <c r="AF9" s="1">
        <f ca="1">IF(AO9="X","",SUMIF(גיליון2!$B$26:INDIRECT(ADDRESS(24+COUNTA(A:A)-3,2,4,1,"גיליון2")),גיליון1!A9,גיליון2!$H$26:INDIRECT(ADDRESS(23+COUNTA(A:A)-3,8,4,1,"גיליון2"))))</f>
        <v>0</v>
      </c>
      <c r="AG9" s="6">
        <f t="shared" si="5"/>
        <v>0</v>
      </c>
      <c r="AH9" s="10"/>
      <c r="AI9" s="6">
        <f t="shared" si="6"/>
        <v>0</v>
      </c>
      <c r="AJ9" s="6">
        <f t="shared" si="7"/>
        <v>0</v>
      </c>
      <c r="AK9" s="50"/>
      <c r="AL9" s="1"/>
      <c r="AM9" s="60" t="str">
        <f t="shared" si="8"/>
        <v/>
      </c>
      <c r="AN9" s="59" t="str">
        <f t="shared" si="8"/>
        <v/>
      </c>
      <c r="AO9" s="12"/>
      <c r="AP9" s="12"/>
    </row>
    <row r="10" spans="1:68" x14ac:dyDescent="0.3">
      <c r="A10" s="4" t="s">
        <v>36</v>
      </c>
      <c r="B10" s="1">
        <f ca="1">IF(AO10="X","",SUMIF(גיליון2!$B$26:INDIRECT(ADDRESS(24+COUNTA(A:A)-3,2,4,1,"גיליון2")),גיליון1!A10,גיליון2!$D$26:INDIRECT(ADDRESS(23+COUNTA(A:A)-3,4,4,1,"גיליון2"))))</f>
        <v>0</v>
      </c>
      <c r="C10" s="52">
        <f t="shared" si="0"/>
        <v>0</v>
      </c>
      <c r="D10" s="15" t="str">
        <f t="shared" si="9"/>
        <v/>
      </c>
      <c r="E10" s="6">
        <f>LEN('גיליון 3'!$K$19)-LEN(SUBSTITUTE('גיליון 3'!$K$19,LOWER(VLOOKUP(גיליון1!$A10,'גיליון 3'!$I:$J,2,0)),""))+F10</f>
        <v>0</v>
      </c>
      <c r="F10" s="10">
        <f>LEN('גיליון 3'!$K$19)-LEN(SUBSTITUTE('גיליון 3'!$K$19,VLOOKUP(גיליון1!$A10,'גיליון 3'!$I:$J,2,0),""))</f>
        <v>0</v>
      </c>
      <c r="G10" s="6" t="str">
        <f t="shared" si="1"/>
        <v/>
      </c>
      <c r="H10" s="15" t="str">
        <f t="shared" si="14"/>
        <v/>
      </c>
      <c r="I10" s="6">
        <f>LEN('גיליון 3'!$K$20)-LEN(SUBSTITUTE('גיליון 3'!$K$20,LOWER(VLOOKUP(גיליון1!$A10,'גיליון 3'!$I:$J,2,0)),""))+J10</f>
        <v>0</v>
      </c>
      <c r="J10" s="10">
        <f>LEN('גיליון 3'!$K$20)-LEN(SUBSTITUTE('גיליון 3'!$K$20,VLOOKUP(גיליון1!$A10,'גיליון 3'!$I:$J,2,0),""))</f>
        <v>0</v>
      </c>
      <c r="K10" s="6" t="str">
        <f>IF($AO10="X","",IFERROR(LEFT(H10,FIND("/",H10)-1)*100/RIGHT(H10,LEN(H10)-(FIND("/",H10))),""))</f>
        <v/>
      </c>
      <c r="L10" s="5"/>
      <c r="M10" s="6">
        <f t="shared" si="11"/>
        <v>0</v>
      </c>
      <c r="N10" s="10">
        <f t="shared" si="12"/>
        <v>0</v>
      </c>
      <c r="O10" s="6" t="str">
        <f t="shared" si="3"/>
        <v/>
      </c>
      <c r="P10" s="15"/>
      <c r="Q10" s="10"/>
      <c r="R10" s="6" t="str">
        <f>IF(P10+Q10=0,"",P10+Q10)</f>
        <v/>
      </c>
      <c r="S10" s="13"/>
      <c r="T10" s="10"/>
      <c r="U10" s="10"/>
      <c r="V10" s="13"/>
      <c r="W10" s="10"/>
      <c r="X10" s="13"/>
      <c r="Y10" s="10"/>
      <c r="Z10" s="26" t="str">
        <f t="shared" si="4"/>
        <v/>
      </c>
      <c r="AA10" s="10"/>
      <c r="AB10" s="10"/>
      <c r="AC10" s="18"/>
      <c r="AD10" s="1">
        <f t="shared" ca="1" si="10"/>
        <v>0</v>
      </c>
      <c r="AE10" s="1">
        <f ca="1">IF(AO10="X","",SUMIF(גיליון2!$B$26:INDIRECT(ADDRESS(24+COUNTA(A:A)-3,2,4,1,"גיליון2")),גיליון1!A10,גיליון2!$F$26:INDIRECT(ADDRESS(23+COUNTA(A:A)-3,6,4,1,"גיליון2"))))</f>
        <v>0</v>
      </c>
      <c r="AF10" s="1">
        <f ca="1">IF(AO10="X","",SUMIF(גיליון2!$B$26:INDIRECT(ADDRESS(24+COUNTA(A:A)-3,2,4,1,"גיליון2")),גיליון1!A10,גיליון2!$H$26:INDIRECT(ADDRESS(23+COUNTA(A:A)-3,8,4,1,"גיליון2"))))</f>
        <v>0</v>
      </c>
      <c r="AG10" s="6">
        <f t="shared" si="5"/>
        <v>0</v>
      </c>
      <c r="AH10" s="10"/>
      <c r="AI10" s="6">
        <f t="shared" si="6"/>
        <v>0</v>
      </c>
      <c r="AJ10" s="6">
        <f t="shared" si="7"/>
        <v>0</v>
      </c>
      <c r="AK10" s="50"/>
      <c r="AL10" s="1"/>
      <c r="AM10" s="60" t="str">
        <f t="shared" si="8"/>
        <v/>
      </c>
      <c r="AN10" s="59" t="str">
        <f t="shared" si="8"/>
        <v/>
      </c>
      <c r="AO10" s="12"/>
      <c r="AP10" s="12"/>
    </row>
    <row r="11" spans="1:68" x14ac:dyDescent="0.3">
      <c r="A11" s="4" t="s">
        <v>0</v>
      </c>
      <c r="B11" s="1">
        <f ca="1">IF(AO11="X","",SUMIF(גיליון2!$B$26:INDIRECT(ADDRESS(24+COUNTA(A:A)-3,2,4,1,"גיליון2")),גיליון1!A11,גיליון2!$D$26:INDIRECT(ADDRESS(23+COUNTA(A:A)-3,4,4,1,"גיליון2"))))</f>
        <v>0</v>
      </c>
      <c r="C11" s="52">
        <f t="shared" si="0"/>
        <v>0</v>
      </c>
      <c r="D11" s="15" t="str">
        <f t="shared" si="9"/>
        <v/>
      </c>
      <c r="E11" s="6">
        <f>LEN('גיליון 3'!$K$19)-LEN(SUBSTITUTE('גיליון 3'!$K$19,LOWER(VLOOKUP(גיליון1!$A11,'גיליון 3'!$I:$J,2,0)),""))+F11</f>
        <v>0</v>
      </c>
      <c r="F11" s="10">
        <f>LEN('גיליון 3'!$K$19)-LEN(SUBSTITUTE('גיליון 3'!$K$19,VLOOKUP(גיליון1!$A11,'גיליון 3'!$I:$J,2,0),""))</f>
        <v>0</v>
      </c>
      <c r="G11" s="6" t="str">
        <f t="shared" si="1"/>
        <v/>
      </c>
      <c r="H11" s="15" t="str">
        <f t="shared" si="14"/>
        <v/>
      </c>
      <c r="I11" s="6">
        <f>LEN('גיליון 3'!$K$20)-LEN(SUBSTITUTE('גיליון 3'!$K$20,LOWER(VLOOKUP(גיליון1!$A11,'גיליון 3'!$I:$J,2,0)),""))+J11</f>
        <v>0</v>
      </c>
      <c r="J11" s="10">
        <f>LEN('גיליון 3'!$K$20)-LEN(SUBSTITUTE('גיליון 3'!$K$20,VLOOKUP(גיליון1!$A11,'גיליון 3'!$I:$J,2,0),""))</f>
        <v>0</v>
      </c>
      <c r="K11" s="6" t="str">
        <f>IF($AO11="X","",IFERROR(LEFT(H11,FIND("/",H11)-1)*100/RIGHT(H11,LEN(H11)-(FIND("/",H11))),""))</f>
        <v/>
      </c>
      <c r="L11" s="5"/>
      <c r="M11" s="6">
        <f t="shared" si="11"/>
        <v>0</v>
      </c>
      <c r="N11" s="10">
        <f t="shared" si="12"/>
        <v>0</v>
      </c>
      <c r="O11" s="6" t="str">
        <f t="shared" si="3"/>
        <v/>
      </c>
      <c r="P11" s="13"/>
      <c r="Q11" s="10"/>
      <c r="R11" s="6" t="str">
        <f t="shared" ref="R11:R13" si="15">IF(P11+Q11=0,"",P11+Q11)</f>
        <v/>
      </c>
      <c r="S11" s="13"/>
      <c r="T11" s="10"/>
      <c r="U11" s="10"/>
      <c r="V11" s="13"/>
      <c r="W11" s="10"/>
      <c r="X11" s="13"/>
      <c r="Y11" s="10"/>
      <c r="Z11" s="26" t="str">
        <f t="shared" si="4"/>
        <v/>
      </c>
      <c r="AA11" s="10"/>
      <c r="AB11" s="10"/>
      <c r="AC11" s="18"/>
      <c r="AD11" s="1">
        <f t="shared" ca="1" si="10"/>
        <v>0</v>
      </c>
      <c r="AE11" s="1">
        <f ca="1">IF(AO11="X","",SUMIF(גיליון2!$B$26:INDIRECT(ADDRESS(24+COUNTA(A:A)-3,2,4,1,"גיליון2")),גיליון1!A11,גיליון2!$F$26:INDIRECT(ADDRESS(23+COUNTA(A:A)-3,6,4,1,"גיליון2"))))</f>
        <v>0</v>
      </c>
      <c r="AF11" s="1">
        <f ca="1">IF(AO11="X","",SUMIF(גיליון2!$B$26:INDIRECT(ADDRESS(24+COUNTA(A:A)-3,2,4,1,"גיליון2")),גיליון1!A11,גיליון2!$H$26:INDIRECT(ADDRESS(23+COUNTA(A:A)-3,8,4,1,"גיליון2"))))</f>
        <v>0</v>
      </c>
      <c r="AG11" s="6">
        <f t="shared" si="5"/>
        <v>0</v>
      </c>
      <c r="AH11" s="10"/>
      <c r="AI11" s="6">
        <f t="shared" si="6"/>
        <v>0</v>
      </c>
      <c r="AJ11" s="6">
        <f t="shared" si="7"/>
        <v>0</v>
      </c>
      <c r="AK11" s="50"/>
      <c r="AL11" s="1"/>
      <c r="AM11" s="60" t="str">
        <f t="shared" si="8"/>
        <v/>
      </c>
      <c r="AN11" s="59" t="str">
        <f t="shared" si="8"/>
        <v/>
      </c>
      <c r="AO11" s="12"/>
      <c r="AP11" s="12"/>
    </row>
    <row r="12" spans="1:68" x14ac:dyDescent="0.3">
      <c r="A12" s="4" t="s">
        <v>58</v>
      </c>
      <c r="B12" s="1">
        <f ca="1">IF(AO12="X","",SUMIF(גיליון2!$B$26:INDIRECT(ADDRESS(24+COUNTA(A:A)-3,2,4,1,"גיליון2")),גיליון1!A12,גיליון2!$D$26:INDIRECT(ADDRESS(23+COUNTA(A:A)-3,4,4,1,"גיליון2"))))</f>
        <v>0</v>
      </c>
      <c r="C12" s="52">
        <f t="shared" si="0"/>
        <v>0</v>
      </c>
      <c r="D12" s="15" t="str">
        <f t="shared" si="9"/>
        <v/>
      </c>
      <c r="E12" s="6">
        <f>LEN('גיליון 3'!$K$19)-LEN(SUBSTITUTE('גיליון 3'!$K$19,LOWER(VLOOKUP(גיליון1!$A12,'גיליון 3'!$I:$J,2,0)),""))+F12</f>
        <v>0</v>
      </c>
      <c r="F12" s="10">
        <f>LEN('גיליון 3'!$K$19)-LEN(SUBSTITUTE('גיליון 3'!$K$19,VLOOKUP(גיליון1!$A12,'גיליון 3'!$I:$J,2,0),""))</f>
        <v>0</v>
      </c>
      <c r="G12" s="6" t="str">
        <f t="shared" si="1"/>
        <v/>
      </c>
      <c r="H12" s="15" t="str">
        <f t="shared" si="14"/>
        <v/>
      </c>
      <c r="I12" s="6">
        <f>LEN('גיליון 3'!$K$20)-LEN(SUBSTITUTE('גיליון 3'!$K$20,LOWER(VLOOKUP(גיליון1!$A12,'גיליון 3'!$I:$J,2,0)),""))+J12</f>
        <v>0</v>
      </c>
      <c r="J12" s="10">
        <f>LEN('גיליון 3'!$K$20)-LEN(SUBSTITUTE('גיליון 3'!$K$20,VLOOKUP(גיליון1!$A12,'גיליון 3'!$I:$J,2,0),""))</f>
        <v>0</v>
      </c>
      <c r="K12" s="6" t="str">
        <f>IF($AO12="X","",IFERROR(LEFT(H12,FIND("/",H12)-1)*100/RIGHT(H12,LEN(H12)-(FIND("/",H12))),""))</f>
        <v/>
      </c>
      <c r="L12" s="5"/>
      <c r="M12" s="6">
        <f t="shared" si="11"/>
        <v>0</v>
      </c>
      <c r="N12" s="10">
        <f t="shared" si="12"/>
        <v>0</v>
      </c>
      <c r="O12" s="6" t="str">
        <f t="shared" si="3"/>
        <v/>
      </c>
      <c r="P12" s="13"/>
      <c r="Q12" s="10"/>
      <c r="R12" s="6" t="str">
        <f t="shared" si="15"/>
        <v/>
      </c>
      <c r="S12" s="13"/>
      <c r="T12" s="10"/>
      <c r="U12" s="10"/>
      <c r="V12" s="13"/>
      <c r="W12" s="10"/>
      <c r="X12" s="13"/>
      <c r="Y12" s="10"/>
      <c r="Z12" s="26" t="str">
        <f t="shared" si="4"/>
        <v/>
      </c>
      <c r="AA12" s="10"/>
      <c r="AB12" s="10"/>
      <c r="AC12" s="18"/>
      <c r="AD12" s="1">
        <f t="shared" ca="1" si="10"/>
        <v>0</v>
      </c>
      <c r="AE12" s="1">
        <f ca="1">IF(AO12="X","",SUMIF(גיליון2!$B$26:INDIRECT(ADDRESS(24+COUNTA(A:A)-3,2,4,1,"גיליון2")),גיליון1!A12,גיליון2!$F$26:INDIRECT(ADDRESS(23+COUNTA(A:A)-3,6,4,1,"גיליון2"))))</f>
        <v>0</v>
      </c>
      <c r="AF12" s="1">
        <f ca="1">IF(AO12="X","",SUMIF(גיליון2!$B$26:INDIRECT(ADDRESS(24+COUNTA(A:A)-3,2,4,1,"גיליון2")),גיליון1!A12,גיליון2!$H$26:INDIRECT(ADDRESS(23+COUNTA(A:A)-3,8,4,1,"גיליון2"))))</f>
        <v>0</v>
      </c>
      <c r="AG12" s="6">
        <f t="shared" si="5"/>
        <v>0</v>
      </c>
      <c r="AH12" s="10"/>
      <c r="AI12" s="6">
        <f t="shared" si="6"/>
        <v>0</v>
      </c>
      <c r="AJ12" s="6">
        <f t="shared" si="7"/>
        <v>0</v>
      </c>
      <c r="AK12" s="50"/>
      <c r="AL12" s="1"/>
      <c r="AM12" s="60" t="str">
        <f t="shared" si="8"/>
        <v/>
      </c>
      <c r="AN12" s="59" t="str">
        <f t="shared" si="8"/>
        <v/>
      </c>
      <c r="AO12" s="12"/>
      <c r="AP12" s="12"/>
    </row>
    <row r="13" spans="1:68" x14ac:dyDescent="0.3">
      <c r="A13" s="4" t="s">
        <v>2</v>
      </c>
      <c r="B13" s="1">
        <f ca="1">IF(AO13="X","",SUMIF(גיליון2!$B$26:INDIRECT(ADDRESS(24+COUNTA(A:A)-3,2,4,1,"גיליון2")),גיליון1!A13,גיליון2!$D$26:INDIRECT(ADDRESS(23+COUNTA(A:A)-3,4,4,1,"גיליון2"))))</f>
        <v>0</v>
      </c>
      <c r="C13" s="52">
        <f t="shared" si="0"/>
        <v>0</v>
      </c>
      <c r="D13" s="15" t="str">
        <f t="shared" si="9"/>
        <v/>
      </c>
      <c r="E13" s="6">
        <f>LEN('גיליון 3'!$K$19)-LEN(SUBSTITUTE('גיליון 3'!$K$19,LOWER(VLOOKUP(גיליון1!$A13,'גיליון 3'!$I:$J,2,0)),""))+F13</f>
        <v>0</v>
      </c>
      <c r="F13" s="10">
        <f>LEN('גיליון 3'!$K$19)-LEN(SUBSTITUTE('גיליון 3'!$K$19,VLOOKUP(גיליון1!$A13,'גיליון 3'!$I:$J,2,0),""))</f>
        <v>0</v>
      </c>
      <c r="G13" s="6" t="str">
        <f t="shared" si="1"/>
        <v/>
      </c>
      <c r="H13" s="15" t="str">
        <f t="shared" si="14"/>
        <v/>
      </c>
      <c r="I13" s="6">
        <f>LEN('גיליון 3'!$K$20)-LEN(SUBSTITUTE('גיליון 3'!$K$20,LOWER(VLOOKUP(גיליון1!$A13,'גיליון 3'!$I:$J,2,0)),""))+J13</f>
        <v>0</v>
      </c>
      <c r="J13" s="10">
        <f>LEN('גיליון 3'!$K$20)-LEN(SUBSTITUTE('גיליון 3'!$K$20,VLOOKUP(גיליון1!$A13,'גיליון 3'!$I:$J,2,0),""))</f>
        <v>0</v>
      </c>
      <c r="K13" s="6" t="str">
        <f>IF($AO13="X","",IFERROR(LEFT(H13,FIND("/",H13)-1)*100/RIGHT(H13,LEN(H13)-(FIND("/",H13))),""))</f>
        <v/>
      </c>
      <c r="L13" s="5"/>
      <c r="M13" s="6">
        <f t="shared" si="11"/>
        <v>0</v>
      </c>
      <c r="N13" s="10">
        <f t="shared" si="12"/>
        <v>0</v>
      </c>
      <c r="O13" s="6" t="str">
        <f t="shared" si="3"/>
        <v/>
      </c>
      <c r="P13" s="13"/>
      <c r="Q13" s="10"/>
      <c r="R13" s="6" t="str">
        <f t="shared" si="15"/>
        <v/>
      </c>
      <c r="S13" s="13"/>
      <c r="T13" s="10"/>
      <c r="U13" s="10"/>
      <c r="V13" s="13"/>
      <c r="W13" s="10"/>
      <c r="X13" s="13"/>
      <c r="Y13" s="10"/>
      <c r="Z13" s="26" t="str">
        <f t="shared" si="4"/>
        <v/>
      </c>
      <c r="AA13" s="10"/>
      <c r="AB13" s="10"/>
      <c r="AC13" s="18"/>
      <c r="AD13" s="1">
        <f t="shared" ca="1" si="10"/>
        <v>0</v>
      </c>
      <c r="AE13" s="1">
        <f ca="1">IF(AO13="X","",SUMIF(גיליון2!$B$26:INDIRECT(ADDRESS(24+COUNTA(A:A)-3,2,4,1,"גיליון2")),גיליון1!A13,גיליון2!$F$26:INDIRECT(ADDRESS(23+COUNTA(A:A)-3,6,4,1,"גיליון2"))))</f>
        <v>0</v>
      </c>
      <c r="AF13" s="1">
        <f ca="1">IF(AO13="X","",SUMIF(גיליון2!$B$26:INDIRECT(ADDRESS(24+COUNTA(A:A)-3,2,4,1,"גיליון2")),גיליון1!A13,גיליון2!$H$26:INDIRECT(ADDRESS(23+COUNTA(A:A)-3,8,4,1,"גיליון2"))))</f>
        <v>0</v>
      </c>
      <c r="AG13" s="6">
        <f t="shared" si="5"/>
        <v>0</v>
      </c>
      <c r="AH13" s="10"/>
      <c r="AI13" s="6">
        <f t="shared" si="6"/>
        <v>0</v>
      </c>
      <c r="AJ13" s="6">
        <f t="shared" si="7"/>
        <v>0</v>
      </c>
      <c r="AK13" s="50"/>
      <c r="AL13" s="1"/>
      <c r="AM13" s="60" t="str">
        <f t="shared" si="8"/>
        <v/>
      </c>
      <c r="AN13" s="59" t="str">
        <f t="shared" si="8"/>
        <v/>
      </c>
      <c r="AO13" s="12"/>
      <c r="AP13" s="12"/>
    </row>
    <row r="14" spans="1:68" x14ac:dyDescent="0.3">
      <c r="A14" s="4" t="s">
        <v>57</v>
      </c>
      <c r="B14" s="1">
        <f ca="1">IF(AO14="X","",SUMIF(גיליון2!$B$26:INDIRECT(ADDRESS(24+COUNTA(A:A)-3,2,4,1,"גיליון2")),גיליון1!A14,גיליון2!$D$26:INDIRECT(ADDRESS(23+COUNTA(A:A)-3,4,4,1,"גיליון2"))))</f>
        <v>0</v>
      </c>
      <c r="C14" s="52">
        <f t="shared" si="0"/>
        <v>0</v>
      </c>
      <c r="D14" s="15" t="str">
        <f t="shared" si="9"/>
        <v/>
      </c>
      <c r="E14" s="6">
        <f>LEN('גיליון 3'!$K$19)-LEN(SUBSTITUTE('גיליון 3'!$K$19,LOWER(VLOOKUP(גיליון1!$A14,'גיליון 3'!$I:$J,2,0)),""))+F14</f>
        <v>0</v>
      </c>
      <c r="F14" s="10">
        <f>LEN('גיליון 3'!$K$19)-LEN(SUBSTITUTE('גיליון 3'!$K$19,VLOOKUP(גיליון1!$A14,'גיליון 3'!$I:$J,2,0),""))</f>
        <v>0</v>
      </c>
      <c r="G14" s="6" t="str">
        <f t="shared" si="1"/>
        <v/>
      </c>
      <c r="H14" s="15" t="str">
        <f t="shared" si="14"/>
        <v/>
      </c>
      <c r="I14" s="6">
        <f>LEN('גיליון 3'!$K$20)-LEN(SUBSTITUTE('גיליון 3'!$K$20,LOWER(VLOOKUP(גיליון1!$A14,'גיליון 3'!$I:$J,2,0)),""))+J14</f>
        <v>0</v>
      </c>
      <c r="J14" s="10">
        <f>LEN('גיליון 3'!$K$20)-LEN(SUBSTITUTE('גיליון 3'!$K$20,VLOOKUP(גיליון1!$A14,'גיליון 3'!$I:$J,2,0),""))</f>
        <v>0</v>
      </c>
      <c r="K14" s="6" t="str">
        <f>IF($AO14="X","",IFERROR(LEFT(H14,FIND("/",H14)-1)*100/RIGHT(H14,LEN(H14)-(FIND("/",H14))),""))</f>
        <v/>
      </c>
      <c r="L14" s="5"/>
      <c r="M14" s="6">
        <f t="shared" si="11"/>
        <v>0</v>
      </c>
      <c r="N14" s="10">
        <f t="shared" si="12"/>
        <v>0</v>
      </c>
      <c r="O14" s="6" t="str">
        <f t="shared" si="3"/>
        <v/>
      </c>
      <c r="P14" s="13"/>
      <c r="Q14" s="10"/>
      <c r="R14" s="6" t="str">
        <f t="shared" si="13"/>
        <v/>
      </c>
      <c r="S14" s="13"/>
      <c r="T14" s="10"/>
      <c r="U14" s="10"/>
      <c r="V14" s="13"/>
      <c r="W14" s="10"/>
      <c r="X14" s="13"/>
      <c r="Y14" s="10"/>
      <c r="Z14" s="26" t="str">
        <f t="shared" si="4"/>
        <v/>
      </c>
      <c r="AA14" s="10"/>
      <c r="AB14" s="10"/>
      <c r="AC14" s="18"/>
      <c r="AD14" s="1">
        <f t="shared" ca="1" si="10"/>
        <v>0</v>
      </c>
      <c r="AE14" s="1">
        <f ca="1">IF(AO14="X","",SUMIF(גיליון2!$B$26:INDIRECT(ADDRESS(24+COUNTA(A:A)-3,2,4,1,"גיליון2")),גיליון1!A14,גיליון2!$F$26:INDIRECT(ADDRESS(23+COUNTA(A:A)-3,6,4,1,"גיליון2"))))</f>
        <v>0</v>
      </c>
      <c r="AF14" s="1">
        <f ca="1">IF(AO14="X","",SUMIF(גיליון2!$B$26:INDIRECT(ADDRESS(24+COUNTA(A:A)-3,2,4,1,"גיליון2")),גיליון1!A14,גיליון2!$H$26:INDIRECT(ADDRESS(23+COUNTA(A:A)-3,8,4,1,"גיליון2"))))</f>
        <v>0</v>
      </c>
      <c r="AG14" s="6">
        <f t="shared" si="5"/>
        <v>0</v>
      </c>
      <c r="AH14" s="10"/>
      <c r="AI14" s="6">
        <f t="shared" si="6"/>
        <v>0</v>
      </c>
      <c r="AJ14" s="6">
        <f t="shared" si="7"/>
        <v>0</v>
      </c>
      <c r="AK14" s="50"/>
      <c r="AL14" s="1"/>
      <c r="AM14" s="60" t="str">
        <f t="shared" si="8"/>
        <v/>
      </c>
      <c r="AN14" s="59" t="str">
        <f t="shared" si="8"/>
        <v/>
      </c>
      <c r="AO14" s="12"/>
      <c r="AP14" s="12"/>
    </row>
    <row r="15" spans="1:68" ht="10" customHeight="1" x14ac:dyDescent="0.3">
      <c r="F15" s="10"/>
      <c r="I15" s="6"/>
      <c r="J15" s="10"/>
      <c r="AD15" s="1"/>
      <c r="AI15" s="4" t="s">
        <v>37</v>
      </c>
      <c r="AK15" s="49">
        <f>SUM(AK3:AK14)/5</f>
        <v>0</v>
      </c>
      <c r="AL15" s="48">
        <f>SUM(AL3:AL14)/5</f>
        <v>0</v>
      </c>
    </row>
    <row r="16" spans="1:68" s="46" customFormat="1" x14ac:dyDescent="0.3">
      <c r="A16" s="46" t="s">
        <v>40</v>
      </c>
      <c r="B16" s="53">
        <f ca="1">SUM(B1:INDIRECT(ADDRESS(ROW()-2,COLUMN(),4,1)))</f>
        <v>0</v>
      </c>
      <c r="C16" s="54">
        <f ca="1">SUM(C3:INDIRECT(ADDRESS(ROW()-2,COLUMN(),4,1)))</f>
        <v>0</v>
      </c>
      <c r="D16" s="55" t="str">
        <f ca="1">CONCATENATE(INDIRECT(ADDRESS(ROW(),COLUMN()+2,4,1)),"/",INDIRECT(ADDRESS(ROW(),COLUMN()+1,4,1)))</f>
        <v>0/0</v>
      </c>
      <c r="E16" s="53">
        <f ca="1">SUM(E3:INDIRECT(ADDRESS(ROW()-2,COLUMN(),4,1)))</f>
        <v>0</v>
      </c>
      <c r="F16" s="53">
        <f ca="1">SUM(F3:INDIRECT(ADDRESS(ROW()-2,COLUMN(),4,1)))</f>
        <v>0</v>
      </c>
      <c r="G16" s="83" t="e">
        <f ca="1">SUM(INDIRECT(ADDRESS(ROW(),COLUMN()-1,4,1))/INDIRECT(ADDRESS(ROW(),COLUMN()-2,4,1)))*100</f>
        <v>#DIV/0!</v>
      </c>
      <c r="H16" s="55" t="str">
        <f ca="1">CONCATENATE(INDIRECT(ADDRESS(ROW(),COLUMN()+2,4,1)),"/",INDIRECT(ADDRESS(ROW(),COLUMN()+1,4,1)))</f>
        <v>0/0</v>
      </c>
      <c r="I16" s="53">
        <f ca="1">SUM(I3:INDIRECT(ADDRESS(ROW()-2,COLUMN(),4,1)))</f>
        <v>0</v>
      </c>
      <c r="J16" s="53">
        <f ca="1">SUM(J3:INDIRECT(ADDRESS(ROW()-2,COLUMN(),4,1)))</f>
        <v>0</v>
      </c>
      <c r="K16" s="53" t="e">
        <f ca="1">SUM(INDIRECT(ADDRESS(ROW(),COLUMN()-1,4,1))/INDIRECT(ADDRESS(ROW(),COLUMN()-2,4,1)))*100</f>
        <v>#DIV/0!</v>
      </c>
      <c r="L16" s="55" t="str">
        <f ca="1">CONCATENATE(INDIRECT(ADDRESS(ROW(),COLUMN()+2,4,1)),"/",INDIRECT(ADDRESS(ROW(),COLUMN()+1,4,1)))</f>
        <v>0/0</v>
      </c>
      <c r="M16" s="53">
        <f ca="1">SUM(M3:INDIRECT(ADDRESS(ROW()-2,COLUMN(),4,1)))</f>
        <v>0</v>
      </c>
      <c r="N16" s="53">
        <f ca="1">SUM(N3:INDIRECT(ADDRESS(ROW()-2,COLUMN(),4,1)))</f>
        <v>0</v>
      </c>
      <c r="O16" s="83" t="e">
        <f ca="1">SUM(INDIRECT(ADDRESS(ROW(),COLUMN()-1,4,1))/INDIRECT(ADDRESS(ROW(),COLUMN()-2,4,1)))*100</f>
        <v>#DIV/0!</v>
      </c>
      <c r="P16" s="82">
        <f ca="1">SUM(P3:INDIRECT(ADDRESS(ROW()-2,COLUMN(),4,1)))+P15</f>
        <v>0</v>
      </c>
      <c r="Q16" s="46">
        <f ca="1">SUM(Q3:INDIRECT(ADDRESS(ROW()-2,COLUMN(),4,1)))+Q15</f>
        <v>0</v>
      </c>
      <c r="R16" s="46">
        <f ca="1">SUM(R3:INDIRECT(ADDRESS(ROW()-2,COLUMN(),4,1)))+P15+Q15</f>
        <v>0</v>
      </c>
      <c r="S16" s="53">
        <f ca="1">SUM(S3:INDIRECT(ADDRESS(ROW()-2,COLUMN(),4,1)))</f>
        <v>0</v>
      </c>
      <c r="T16" s="46">
        <f ca="1">SUM(T3:INDIRECT(ADDRESS(ROW()-2,COLUMN(),4,1)))+T15</f>
        <v>0</v>
      </c>
      <c r="U16" s="53">
        <f ca="1">SUM(U3:INDIRECT(ADDRESS(ROW()-2,COLUMN(),4,1)))</f>
        <v>0</v>
      </c>
      <c r="V16" s="55">
        <f ca="1">SUM(V3:INDIRECT(ADDRESS(ROW()-2,COLUMN(),4,1)))</f>
        <v>0</v>
      </c>
      <c r="W16" s="53">
        <f ca="1">SUM(W3:INDIRECT(ADDRESS(ROW()-2,COLUMN(),4,1)))</f>
        <v>0</v>
      </c>
      <c r="X16" s="55">
        <f ca="1">SUM(X3:INDIRECT(ADDRESS(ROW()-2,COLUMN(),4,1)))+Y16</f>
        <v>0</v>
      </c>
      <c r="Y16" s="46">
        <f ca="1">SUM(Y3:INDIRECT(ADDRESS(ROW()-2,COLUMN(),4,1)))+Y15</f>
        <v>0</v>
      </c>
      <c r="Z16" s="53">
        <f ca="1">SUM(Z3:INDIRECT(ADDRESS(ROW()-2,COLUMN(),4,1)))</f>
        <v>0</v>
      </c>
      <c r="AA16" s="81">
        <f ca="1">SUM(AA3:INDIRECT(ADDRESS(ROW()-2,COLUMN(),4,1)))</f>
        <v>0</v>
      </c>
      <c r="AB16" s="53"/>
      <c r="AC16" s="53"/>
      <c r="AD16" s="73">
        <f ca="1">SUM(AD3:INDIRECT(ADDRESS(ROW()-2,COLUMN(),4,1)))</f>
        <v>0</v>
      </c>
      <c r="AE16" s="74"/>
      <c r="AF16" s="74"/>
      <c r="AG16" s="74"/>
      <c r="AH16" s="74"/>
      <c r="AI16" s="74"/>
      <c r="AJ16" s="74"/>
      <c r="AM16" s="65" t="e">
        <f ca="1">SUM(P16:P17)/AK15</f>
        <v>#DIV/0!</v>
      </c>
      <c r="AN16" s="64" t="e">
        <f ca="1">SUM(Q16:Q17)/AL15</f>
        <v>#DIV/0!</v>
      </c>
      <c r="AP16" s="87"/>
      <c r="AQ16" s="87"/>
      <c r="AR16" s="87"/>
      <c r="AS16" s="87"/>
      <c r="AT16" s="87"/>
      <c r="AU16" s="87"/>
      <c r="AV16" s="87"/>
      <c r="AW16" s="87"/>
      <c r="AX16" s="87"/>
      <c r="AY16" s="87"/>
      <c r="AZ16" s="87"/>
      <c r="BA16" s="87"/>
      <c r="BB16" s="87"/>
      <c r="BC16" s="87"/>
      <c r="BD16" s="87"/>
      <c r="BE16" s="87"/>
      <c r="BF16" s="87"/>
      <c r="BG16" s="87"/>
      <c r="BH16" s="87"/>
      <c r="BI16" s="87"/>
      <c r="BJ16" s="87"/>
      <c r="BK16" s="87"/>
      <c r="BL16" s="87"/>
      <c r="BM16" s="87"/>
      <c r="BN16" s="87"/>
      <c r="BO16" s="87"/>
      <c r="BP16" s="87"/>
    </row>
    <row r="17" spans="1:41" s="4" customFormat="1" ht="10" customHeight="1" x14ac:dyDescent="0.3">
      <c r="C17" s="1"/>
      <c r="L17" s="66"/>
      <c r="M17" s="66"/>
      <c r="N17" s="66"/>
      <c r="O17" s="66"/>
      <c r="AD17" s="75" t="s">
        <v>51</v>
      </c>
      <c r="AE17" s="67"/>
      <c r="AF17" s="67"/>
      <c r="AG17" s="76" t="s">
        <v>52</v>
      </c>
      <c r="AH17" s="72">
        <f ca="1">SUM(AH1:INDIRECT(ADDRESS(ROW()-3,COLUMN(),4,1)))</f>
        <v>0</v>
      </c>
      <c r="AI17" s="72">
        <f ca="1">SUM(AI1:INDIRECT(ADDRESS(ROW()-3,COLUMN(),4,1)))-SUM(S1:INDIRECT(ADDRESS(ROW()-3,19,4,1)))</f>
        <v>0</v>
      </c>
      <c r="AJ17" s="75" t="s">
        <v>53</v>
      </c>
      <c r="AK17" s="61">
        <f ca="1">P16+Q19</f>
        <v>0</v>
      </c>
    </row>
    <row r="18" spans="1:41" s="4" customFormat="1" ht="5" customHeight="1" x14ac:dyDescent="0.3">
      <c r="C18" s="1"/>
      <c r="AC18" s="4" t="s">
        <v>37</v>
      </c>
      <c r="AD18" s="67"/>
      <c r="AE18" s="67"/>
      <c r="AF18" s="67"/>
      <c r="AG18" s="67"/>
      <c r="AH18" s="72"/>
      <c r="AI18" s="72"/>
      <c r="AJ18" s="67"/>
    </row>
    <row r="19" spans="1:41" s="4" customFormat="1" x14ac:dyDescent="0.3">
      <c r="A19" s="4" t="s">
        <v>54</v>
      </c>
      <c r="C19" s="52">
        <f>IF(AO19="X","",IFERROR(_xlfn.NUMBERVALUE(LEFT(D19,SEARCH("/",D19)-1))*2,0)+IFERROR(_xlfn.NUMBERVALUE(LEFT(H19,SEARCH("/",H19)-1))*3,0)+IFERROR(_xlfn.NUMBERVALUE(LEFT(L19,SEARCH("/",L19)-1)),0))</f>
        <v>0</v>
      </c>
      <c r="D19" s="5"/>
      <c r="E19" s="6">
        <f t="shared" ref="E19" si="16">IFERROR(VALUE(MID(D19,FIND("/",D19)+1,3)),0)</f>
        <v>0</v>
      </c>
      <c r="F19" s="10">
        <f t="shared" ref="F19" si="17">IFERROR(VALUE(LEFT(D19,FIND("/",D19)-1)),0)</f>
        <v>0</v>
      </c>
      <c r="G19" s="6" t="str">
        <f>IF($AO19="X","",IFERROR(LEFT(D19,FIND("/",D19)-1)*100/RIGHT(D19,LEN(D19)-(FIND("/",D19))),""))</f>
        <v/>
      </c>
      <c r="H19" s="5"/>
      <c r="I19" s="6">
        <f t="shared" ref="I19" si="18">IFERROR(VALUE(MID(H19,FIND("/",H19)+1,3)),0)</f>
        <v>0</v>
      </c>
      <c r="J19" s="10">
        <f t="shared" ref="J19" si="19">IFERROR(VALUE(LEFT(H19,FIND("/",H19)-1)),0)</f>
        <v>0</v>
      </c>
      <c r="K19" s="6" t="str">
        <f>IF($AO19="X","",IFERROR(LEFT(H19,FIND("/",H19)-1)*100/RIGHT(H19,LEN(H19)-(FIND("/",H19))),""))</f>
        <v/>
      </c>
      <c r="L19" s="5"/>
      <c r="M19" s="6">
        <f t="shared" ref="M19" si="20">IFERROR(VALUE(MID(L19,FIND("/",L19)+1,3)),0)</f>
        <v>0</v>
      </c>
      <c r="N19" s="10">
        <f t="shared" ref="N19" si="21">IFERROR(VALUE(LEFT(L19,FIND("/",L19)-1)),0)</f>
        <v>0</v>
      </c>
      <c r="O19" s="6" t="str">
        <f>IF($AO19="X","",IFERROR(LEFT(L19,FIND("/",L19)-1)*100/RIGHT(L19,LEN(L19)-(FIND("/",L19))),""))</f>
        <v/>
      </c>
      <c r="P19" s="13"/>
      <c r="Q19" s="16"/>
      <c r="R19" s="6" t="str">
        <f>IF(P19+Q19+R20=0,"",P19+Q19+R20)</f>
        <v/>
      </c>
      <c r="S19" s="13"/>
      <c r="T19" s="10"/>
      <c r="U19" s="10"/>
      <c r="V19" s="13">
        <f ca="1">W16</f>
        <v>0</v>
      </c>
      <c r="W19" s="10">
        <f ca="1">V16</f>
        <v>0</v>
      </c>
      <c r="X19" s="13" t="str">
        <f ca="1">IF(Z16+Y19=0,"",Z16+Y19)</f>
        <v/>
      </c>
      <c r="Y19" s="10"/>
      <c r="Z19" s="26" t="str">
        <f>IF(SUM(AA19:AC19)=0,"",SUM(AA19:AC19))</f>
        <v/>
      </c>
      <c r="AA19" s="14"/>
      <c r="AB19" s="10"/>
      <c r="AC19" s="18"/>
      <c r="AD19" s="72">
        <f>E19+I19+T19+AA19</f>
        <v>0</v>
      </c>
      <c r="AE19" s="67"/>
      <c r="AF19" s="67"/>
      <c r="AG19" s="67"/>
      <c r="AH19" s="77">
        <f ca="1">AH17/5</f>
        <v>0</v>
      </c>
      <c r="AI19" s="67"/>
      <c r="AJ19" s="67">
        <f ca="1">E16+I16+T16+AA16</f>
        <v>0</v>
      </c>
      <c r="AK19" s="62">
        <f ca="1">Q16+P19</f>
        <v>0</v>
      </c>
      <c r="AL19" s="25"/>
      <c r="AM19" s="60" t="e">
        <f ca="1">1-AN16</f>
        <v>#DIV/0!</v>
      </c>
      <c r="AN19" s="59" t="e">
        <f ca="1">1-AM16</f>
        <v>#DIV/0!</v>
      </c>
      <c r="AO19" s="12"/>
    </row>
    <row r="20" spans="1:41" s="4" customFormat="1" x14ac:dyDescent="0.3">
      <c r="B20" s="4" t="str">
        <f>A16</f>
        <v>פסגת הדר</v>
      </c>
      <c r="C20" t="s">
        <v>56</v>
      </c>
      <c r="D20" s="85">
        <f>B19</f>
        <v>0</v>
      </c>
      <c r="F20"/>
      <c r="G20"/>
      <c r="H20"/>
      <c r="I20"/>
      <c r="J20"/>
      <c r="K20"/>
      <c r="L20" s="71"/>
      <c r="M20"/>
      <c r="N20"/>
      <c r="O20" s="71"/>
      <c r="P20" s="68" t="str">
        <f ca="1">(E16+I16-F16-J16+L20)&amp;"/"&amp;(P16+Q19+P21)</f>
        <v>0/0</v>
      </c>
      <c r="Q20" s="68" t="str">
        <f ca="1">(E19+I19-F19-J19+O20)&amp;"/"&amp;(Q16+P19+Q21)</f>
        <v>0/0</v>
      </c>
      <c r="R20" s="47"/>
      <c r="S20"/>
      <c r="T20"/>
      <c r="U20"/>
      <c r="V20"/>
      <c r="W20"/>
      <c r="X20"/>
      <c r="Y20"/>
      <c r="Z20"/>
      <c r="AA20"/>
      <c r="AB20"/>
      <c r="AC20"/>
      <c r="AD20" s="67"/>
      <c r="AE20" s="67"/>
      <c r="AF20" s="67"/>
      <c r="AG20" s="78"/>
      <c r="AH20" s="79"/>
      <c r="AI20" s="78"/>
      <c r="AJ20" s="79"/>
      <c r="AO20"/>
    </row>
    <row r="21" spans="1:41" s="4" customFormat="1" x14ac:dyDescent="0.3">
      <c r="B21" s="47" t="str">
        <f ca="1">IF(A20="V",IF(MOD(Q16+Q19+T16+T19+F16+F19+J16+J19+L21,2)=0,"Ball",""),IF(MOD(Q16+Q19+T16+T19+F16+F19+J16+J19+L21,2)=0,"","Ball"))</f>
        <v/>
      </c>
      <c r="C21"/>
      <c r="D21" t="str">
        <f ca="1">IF(C20="V",IF(MOD(Q16+Q19+T16+T19+F16+F19+J16+J19+L21,2)=0,"Ball",""),IF(MOD(Q16+Q19+T16+T19+F16+F19+J16+J19+L21,2)=0,"","Ball"))</f>
        <v>Ball</v>
      </c>
      <c r="E21"/>
      <c r="F21"/>
      <c r="G21"/>
      <c r="H21"/>
      <c r="I21"/>
      <c r="J21"/>
      <c r="K21"/>
      <c r="L21" s="84"/>
      <c r="M21"/>
      <c r="N21"/>
      <c r="O21" s="70" t="s">
        <v>50</v>
      </c>
      <c r="P21" s="1"/>
      <c r="Q21" s="1"/>
      <c r="S21"/>
      <c r="T21"/>
      <c r="U21" s="69"/>
      <c r="V21"/>
      <c r="W21"/>
      <c r="X21"/>
      <c r="Y21"/>
      <c r="Z21"/>
      <c r="AA21"/>
      <c r="AB21"/>
      <c r="AC21"/>
      <c r="AD21" s="67"/>
      <c r="AE21" s="67"/>
      <c r="AF21" s="67"/>
      <c r="AG21" s="72"/>
      <c r="AH21" s="67"/>
      <c r="AI21" s="81"/>
      <c r="AJ21" s="80"/>
      <c r="AK21" s="80"/>
      <c r="AO21"/>
    </row>
    <row r="22" spans="1:41" s="4" customFormat="1" x14ac:dyDescent="0.3">
      <c r="C22" s="1"/>
      <c r="F22"/>
      <c r="G22"/>
      <c r="H22"/>
      <c r="I22"/>
      <c r="J22"/>
      <c r="K22"/>
      <c r="M22"/>
      <c r="N22"/>
      <c r="O22" t="s">
        <v>55</v>
      </c>
      <c r="P22"/>
      <c r="Q22"/>
      <c r="R22" s="47"/>
      <c r="S22"/>
      <c r="T22"/>
      <c r="U22"/>
      <c r="V22"/>
      <c r="W22"/>
      <c r="X22"/>
      <c r="Y22"/>
      <c r="Z22"/>
      <c r="AA22"/>
      <c r="AB22"/>
      <c r="AC22"/>
      <c r="AD22" s="78"/>
      <c r="AE22" s="67"/>
      <c r="AF22" s="67"/>
      <c r="AG22" s="80"/>
      <c r="AI22" s="78"/>
      <c r="AJ22" s="78"/>
      <c r="AO22"/>
    </row>
    <row r="23" spans="1:41" s="4" customFormat="1" x14ac:dyDescent="0.3">
      <c r="A23"/>
      <c r="B23"/>
      <c r="C23"/>
      <c r="D23"/>
      <c r="E23"/>
      <c r="F23"/>
      <c r="G23"/>
      <c r="H23"/>
      <c r="I23"/>
      <c r="J23"/>
      <c r="K23"/>
      <c r="L23"/>
      <c r="M23"/>
      <c r="N23"/>
      <c r="O23"/>
      <c r="P23"/>
      <c r="Q23"/>
      <c r="R23" s="47"/>
      <c r="S23"/>
      <c r="T23"/>
      <c r="U23"/>
      <c r="V23"/>
      <c r="W23"/>
      <c r="X23"/>
      <c r="Y23"/>
      <c r="Z23"/>
      <c r="AA23"/>
      <c r="AB23"/>
      <c r="AD23" s="78"/>
      <c r="AE23" s="67"/>
      <c r="AF23" s="67"/>
      <c r="AG23" s="78"/>
      <c r="AH23" s="78"/>
      <c r="AI23" s="78"/>
      <c r="AJ23" s="78"/>
      <c r="AO23"/>
    </row>
    <row r="24" spans="1:41" s="4" customFormat="1" x14ac:dyDescent="0.3">
      <c r="A24"/>
      <c r="B24"/>
      <c r="C24"/>
      <c r="D24"/>
      <c r="E24"/>
      <c r="F24"/>
      <c r="G24"/>
      <c r="H24"/>
      <c r="I24"/>
      <c r="J24"/>
      <c r="K24"/>
      <c r="L24"/>
      <c r="M24"/>
      <c r="N24"/>
      <c r="O24"/>
      <c r="P24"/>
      <c r="Q24"/>
      <c r="R24" s="47"/>
      <c r="S24"/>
      <c r="T24"/>
      <c r="U24"/>
      <c r="V24"/>
      <c r="W24"/>
      <c r="X24"/>
      <c r="Y24"/>
      <c r="Z24"/>
      <c r="AA24"/>
      <c r="AB24"/>
      <c r="AC24"/>
      <c r="AD24"/>
      <c r="AG24"/>
      <c r="AH24"/>
      <c r="AI24"/>
      <c r="AJ24"/>
      <c r="AO24"/>
    </row>
    <row r="25" spans="1:41" s="4" customFormat="1" x14ac:dyDescent="0.3"/>
    <row r="26" spans="1:41" s="4" customFormat="1" x14ac:dyDescent="0.3"/>
    <row r="28" spans="1:41" s="4" customFormat="1" x14ac:dyDescent="0.3"/>
    <row r="29" spans="1:41" s="4" customFormat="1" x14ac:dyDescent="0.3"/>
    <row r="30" spans="1:41" s="4" customFormat="1" x14ac:dyDescent="0.3">
      <c r="B30" s="1"/>
      <c r="C30" s="14"/>
      <c r="D30" s="10"/>
      <c r="E30" s="10"/>
      <c r="F30" s="10"/>
      <c r="G30" s="22"/>
      <c r="Q30" s="1"/>
      <c r="T30" s="6"/>
      <c r="U30" s="6"/>
      <c r="V30" s="6"/>
      <c r="W30" s="1"/>
    </row>
    <row r="31" spans="1:41" s="4" customFormat="1" x14ac:dyDescent="0.3">
      <c r="B31" s="1"/>
      <c r="C31" s="1"/>
      <c r="G31" s="22"/>
      <c r="T31" s="1"/>
      <c r="U31" s="6"/>
      <c r="V31" s="6"/>
      <c r="W31" s="1"/>
    </row>
    <row r="32" spans="1:41" s="4" customFormat="1" x14ac:dyDescent="0.3">
      <c r="B32" s="1"/>
      <c r="C32" s="1"/>
      <c r="G32" s="23"/>
      <c r="W32" s="1"/>
    </row>
  </sheetData>
  <sheetProtection selectLockedCells="1"/>
  <conditionalFormatting sqref="Z19">
    <cfRule type="expression" dxfId="6" priority="6">
      <formula>IF(INDEX($Z$19,1)&lt;&gt;$X$16-$Y$16,TRUE,FALSE)</formula>
    </cfRule>
  </conditionalFormatting>
  <conditionalFormatting sqref="P20">
    <cfRule type="expression" dxfId="5" priority="5">
      <formula>IF(E16+I16-F16-J16+L20&lt;&gt;P16+Q19+P21, TRUE, FALSE)</formula>
    </cfRule>
  </conditionalFormatting>
  <conditionalFormatting sqref="Q20">
    <cfRule type="expression" dxfId="4" priority="4">
      <formula>IF(E19+I19-F19-J19+O20&lt;&gt;Q16+P19+Q21, TRUE, FALSE)</formula>
    </cfRule>
  </conditionalFormatting>
  <conditionalFormatting sqref="AH20">
    <cfRule type="expression" dxfId="3" priority="3">
      <formula>IF(OR(AH20&gt;1,AH20&lt;-1),TRUE,FALSE)</formula>
    </cfRule>
  </conditionalFormatting>
  <conditionalFormatting sqref="D21 B21">
    <cfRule type="containsText" dxfId="2" priority="2" operator="containsText" text="Ball">
      <formula>NOT(ISERROR(SEARCH("Ball",B21)))</formula>
    </cfRule>
  </conditionalFormatting>
  <conditionalFormatting sqref="A1:AO1048576">
    <cfRule type="expression" dxfId="1" priority="1">
      <formula>IF(INDEX($AO:$AO,ROW())="X",TRUE,FALSE)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un_ApplyDifferences_Normal">
                <anchor moveWithCells="1" sizeWithCells="1">
                  <from>
                    <xdr:col>36</xdr:col>
                    <xdr:colOff>158750</xdr:colOff>
                    <xdr:row>20</xdr:row>
                    <xdr:rowOff>69850</xdr:rowOff>
                  </from>
                  <to>
                    <xdr:col>37</xdr:col>
                    <xdr:colOff>120650</xdr:colOff>
                    <xdr:row>21</xdr:row>
                    <xdr:rowOff>88900</xdr:rowOff>
                  </to>
                </anchor>
              </controlPr>
            </control>
          </mc:Choice>
        </mc:AlternateContent>
        <mc:AlternateContent xmlns:mc="http://schemas.openxmlformats.org/markup-compatibility/2006">
          <mc:Choice Requires="x14">
            <control shapeId="4098" r:id="rId5" name="Button 2">
              <controlPr defaultSize="0" print="0" autoFill="0" autoPict="0" macro="[0]!Run_ApplyDifferences_Reverse">
                <anchor moveWithCells="1" sizeWithCells="1">
                  <from>
                    <xdr:col>38</xdr:col>
                    <xdr:colOff>184150</xdr:colOff>
                    <xdr:row>20</xdr:row>
                    <xdr:rowOff>38100</xdr:rowOff>
                  </from>
                  <to>
                    <xdr:col>39</xdr:col>
                    <xdr:colOff>152400</xdr:colOff>
                    <xdr:row>21</xdr:row>
                    <xdr:rowOff>82550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46735-3036-417B-9041-08276C8709B7}">
  <sheetPr codeName="גיליון2"/>
  <dimension ref="A1:DG70"/>
  <sheetViews>
    <sheetView rightToLeft="1" topLeftCell="A3" workbookViewId="0">
      <selection activeCell="N24" sqref="N24"/>
    </sheetView>
  </sheetViews>
  <sheetFormatPr defaultColWidth="2.58203125" defaultRowHeight="14" x14ac:dyDescent="0.3"/>
  <cols>
    <col min="1" max="1" width="1.58203125" style="1" customWidth="1"/>
    <col min="2" max="2" width="4.08203125" style="1" customWidth="1"/>
    <col min="3" max="3" width="1.58203125" style="1" customWidth="1"/>
    <col min="4" max="4" width="4.08203125" style="1" customWidth="1"/>
    <col min="5" max="5" width="1.58203125" style="1" customWidth="1"/>
    <col min="6" max="6" width="4.08203125" style="1" customWidth="1"/>
    <col min="7" max="7" width="1.58203125" style="1" customWidth="1"/>
    <col min="8" max="8" width="4.08203125" style="1" customWidth="1"/>
    <col min="9" max="9" width="1.58203125" style="1" customWidth="1"/>
    <col min="10" max="10" width="4.08203125" style="1" customWidth="1"/>
    <col min="11" max="11" width="1.58203125" style="1" customWidth="1"/>
    <col min="12" max="12" width="4.08203125" style="1" customWidth="1"/>
    <col min="13" max="13" width="1.58203125" style="1" customWidth="1"/>
    <col min="14" max="14" width="4.08203125" style="1" customWidth="1"/>
    <col min="15" max="15" width="1.58203125" style="1" customWidth="1"/>
    <col min="16" max="16" width="4.08203125" style="1" customWidth="1"/>
    <col min="17" max="17" width="1.58203125" style="1" customWidth="1"/>
    <col min="18" max="18" width="4.08203125" style="1" customWidth="1"/>
    <col min="19" max="19" width="1.58203125" style="1" customWidth="1"/>
    <col min="20" max="20" width="4.08203125" style="1" customWidth="1"/>
    <col min="21" max="21" width="1.58203125" style="1" customWidth="1"/>
    <col min="22" max="22" width="4.08203125" style="1" customWidth="1"/>
    <col min="23" max="23" width="1.58203125" style="1" customWidth="1"/>
    <col min="24" max="24" width="4.08203125" style="1" customWidth="1"/>
    <col min="25" max="25" width="1.58203125" style="1" customWidth="1"/>
    <col min="26" max="26" width="4.08203125" style="1" customWidth="1"/>
    <col min="27" max="27" width="1.58203125" style="1" customWidth="1"/>
    <col min="28" max="28" width="4.08203125" style="1" customWidth="1"/>
    <col min="29" max="29" width="1.58203125" style="1" customWidth="1"/>
    <col min="30" max="30" width="4.08203125" style="1" customWidth="1"/>
    <col min="31" max="31" width="1.58203125" style="1" customWidth="1"/>
    <col min="32" max="32" width="4.08203125" style="1" customWidth="1"/>
    <col min="33" max="33" width="1.58203125" style="1" customWidth="1"/>
    <col min="34" max="34" width="4.08203125" style="1" customWidth="1"/>
    <col min="35" max="35" width="1.58203125" style="1" customWidth="1"/>
    <col min="36" max="36" width="4.08203125" style="1" customWidth="1"/>
    <col min="37" max="37" width="1.58203125" style="1" customWidth="1"/>
    <col min="38" max="38" width="4.08203125" style="1" customWidth="1"/>
    <col min="39" max="39" width="1.58203125" style="1" customWidth="1"/>
    <col min="40" max="40" width="4.08203125" style="1" customWidth="1"/>
    <col min="41" max="41" width="1.58203125" style="1" customWidth="1"/>
    <col min="42" max="42" width="4.08203125" style="1" customWidth="1"/>
    <col min="43" max="43" width="1.58203125" style="1" customWidth="1"/>
    <col min="44" max="44" width="4.08203125" style="1" customWidth="1"/>
    <col min="45" max="45" width="1.58203125" style="1" customWidth="1"/>
    <col min="46" max="46" width="4.08203125" style="1" customWidth="1"/>
    <col min="47" max="47" width="1.58203125" style="1" customWidth="1"/>
    <col min="48" max="48" width="4.08203125" style="1" customWidth="1"/>
    <col min="49" max="49" width="1.58203125" style="1" customWidth="1"/>
    <col min="50" max="50" width="4.08203125" style="1" customWidth="1"/>
    <col min="51" max="51" width="1.58203125" style="1" customWidth="1"/>
    <col min="52" max="52" width="4.08203125" style="1" customWidth="1"/>
    <col min="53" max="53" width="1.58203125" style="1" customWidth="1"/>
    <col min="54" max="54" width="4.08203125" style="1" customWidth="1"/>
    <col min="55" max="55" width="1.58203125" style="1" customWidth="1"/>
    <col min="56" max="56" width="4.08203125" style="1" customWidth="1"/>
    <col min="57" max="57" width="1.58203125" style="1" customWidth="1"/>
    <col min="58" max="58" width="4.08203125" style="1" customWidth="1"/>
    <col min="59" max="59" width="1.58203125" style="1" customWidth="1"/>
    <col min="60" max="60" width="4.08203125" style="1" customWidth="1"/>
    <col min="61" max="61" width="1.58203125" style="1" customWidth="1"/>
    <col min="62" max="62" width="4.08203125" style="1" customWidth="1"/>
    <col min="63" max="63" width="1.58203125" style="1" customWidth="1"/>
    <col min="64" max="64" width="4.08203125" style="1" customWidth="1"/>
    <col min="65" max="65" width="1.58203125" style="1" customWidth="1"/>
    <col min="66" max="66" width="4.08203125" style="1" customWidth="1"/>
    <col min="67" max="67" width="1.58203125" style="1" customWidth="1"/>
    <col min="68" max="68" width="4.08203125" style="1" customWidth="1"/>
    <col min="69" max="69" width="1.58203125" style="1" customWidth="1"/>
    <col min="70" max="70" width="4.08203125" style="1" customWidth="1"/>
    <col min="71" max="71" width="1.58203125" style="1" customWidth="1"/>
    <col min="72" max="72" width="4.08203125" style="1" customWidth="1"/>
    <col min="73" max="73" width="1.58203125" style="1" customWidth="1"/>
    <col min="74" max="74" width="4.08203125" style="1" customWidth="1"/>
    <col min="75" max="75" width="1.58203125" style="1" customWidth="1"/>
    <col min="76" max="76" width="4.08203125" style="1" customWidth="1"/>
    <col min="77" max="77" width="1.58203125" style="1" customWidth="1"/>
    <col min="78" max="78" width="4.08203125" style="1" customWidth="1"/>
    <col min="79" max="79" width="1.58203125" style="1" customWidth="1"/>
    <col min="80" max="80" width="4.08203125" style="1" customWidth="1"/>
    <col min="81" max="81" width="1.58203125" style="1" customWidth="1"/>
    <col min="82" max="82" width="4.08203125" style="1" customWidth="1"/>
    <col min="83" max="83" width="1.58203125" style="1" customWidth="1"/>
    <col min="84" max="84" width="4.08203125" style="1" customWidth="1"/>
    <col min="85" max="85" width="1.58203125" style="1" customWidth="1"/>
    <col min="86" max="86" width="4.08203125" style="1" customWidth="1"/>
    <col min="87" max="87" width="1.58203125" style="1" customWidth="1"/>
    <col min="88" max="88" width="4.08203125" style="1" customWidth="1"/>
    <col min="89" max="89" width="1.58203125" style="1" customWidth="1"/>
    <col min="90" max="90" width="4.08203125" style="1" customWidth="1"/>
    <col min="91" max="91" width="1.58203125" style="1" customWidth="1"/>
    <col min="92" max="92" width="4.08203125" style="1" customWidth="1"/>
    <col min="93" max="93" width="1.58203125" style="1" customWidth="1"/>
    <col min="94" max="94" width="4.08203125" style="1" customWidth="1"/>
    <col min="95" max="95" width="1.58203125" style="1" customWidth="1"/>
    <col min="96" max="96" width="4.08203125" style="1" customWidth="1"/>
    <col min="97" max="97" width="1.58203125" style="1" customWidth="1"/>
    <col min="98" max="98" width="4.08203125" style="1" customWidth="1"/>
    <col min="99" max="99" width="1.58203125" style="1" customWidth="1"/>
    <col min="100" max="100" width="4.08203125" style="1" customWidth="1"/>
    <col min="101" max="101" width="1.58203125" style="1" customWidth="1"/>
    <col min="102" max="102" width="4.08203125" style="1" customWidth="1"/>
    <col min="103" max="103" width="1.58203125" style="1" customWidth="1"/>
    <col min="104" max="104" width="4.08203125" style="1" customWidth="1"/>
    <col min="105" max="105" width="1.58203125" style="1" customWidth="1"/>
    <col min="106" max="106" width="4.08203125" style="1" customWidth="1"/>
    <col min="107" max="107" width="1.58203125" style="1" customWidth="1"/>
    <col min="108" max="108" width="4.08203125" style="1" customWidth="1"/>
    <col min="109" max="109" width="1.58203125" style="1" customWidth="1"/>
    <col min="110" max="110" width="4.08203125" style="1" customWidth="1"/>
    <col min="111" max="111" width="1.58203125" style="1" customWidth="1"/>
    <col min="112" max="16384" width="2.58203125" style="1"/>
  </cols>
  <sheetData>
    <row r="1" spans="1:111" x14ac:dyDescent="0.3">
      <c r="A1" s="2">
        <v>0</v>
      </c>
      <c r="B1" s="1" t="s">
        <v>24</v>
      </c>
      <c r="C1" s="1">
        <v>1</v>
      </c>
      <c r="D1" s="1" t="s">
        <v>24</v>
      </c>
      <c r="E1" s="1">
        <v>2</v>
      </c>
      <c r="F1" s="1" t="s">
        <v>24</v>
      </c>
      <c r="G1" s="1">
        <v>3</v>
      </c>
      <c r="H1" s="1" t="s">
        <v>24</v>
      </c>
      <c r="I1" s="1">
        <v>4</v>
      </c>
      <c r="J1" s="1" t="s">
        <v>24</v>
      </c>
      <c r="K1" s="1">
        <v>5</v>
      </c>
      <c r="L1" s="1" t="s">
        <v>24</v>
      </c>
      <c r="M1" s="1">
        <v>6</v>
      </c>
      <c r="N1" s="1" t="s">
        <v>24</v>
      </c>
      <c r="O1" s="1">
        <v>7</v>
      </c>
      <c r="P1" s="1" t="s">
        <v>24</v>
      </c>
      <c r="Q1" s="1">
        <v>8</v>
      </c>
      <c r="R1" s="1" t="s">
        <v>24</v>
      </c>
      <c r="S1" s="1">
        <v>9</v>
      </c>
      <c r="T1" s="1" t="s">
        <v>24</v>
      </c>
      <c r="U1" s="2">
        <v>0</v>
      </c>
      <c r="V1" s="1" t="s">
        <v>24</v>
      </c>
      <c r="W1" s="1">
        <v>1</v>
      </c>
      <c r="X1" s="1" t="s">
        <v>24</v>
      </c>
      <c r="Y1" s="1">
        <v>2</v>
      </c>
      <c r="Z1" s="1" t="s">
        <v>24</v>
      </c>
      <c r="AA1" s="1">
        <v>3</v>
      </c>
      <c r="AB1" s="1" t="s">
        <v>24</v>
      </c>
      <c r="AC1" s="1">
        <v>4</v>
      </c>
      <c r="AD1" s="1" t="s">
        <v>24</v>
      </c>
      <c r="AE1" s="1">
        <v>5</v>
      </c>
      <c r="AF1" s="1" t="s">
        <v>24</v>
      </c>
      <c r="AG1" s="1">
        <v>6</v>
      </c>
      <c r="AH1" s="1" t="s">
        <v>24</v>
      </c>
      <c r="AI1" s="1">
        <v>7</v>
      </c>
      <c r="AJ1" s="1" t="s">
        <v>24</v>
      </c>
      <c r="AK1" s="1">
        <v>8</v>
      </c>
      <c r="AL1" s="1" t="s">
        <v>24</v>
      </c>
      <c r="AM1" s="1">
        <v>9</v>
      </c>
      <c r="AN1" s="1" t="s">
        <v>24</v>
      </c>
      <c r="AO1" s="2">
        <v>0</v>
      </c>
      <c r="AP1" s="1" t="s">
        <v>24</v>
      </c>
      <c r="AQ1" s="1">
        <v>1</v>
      </c>
      <c r="AR1" s="1" t="s">
        <v>24</v>
      </c>
      <c r="AS1" s="1">
        <v>2</v>
      </c>
      <c r="AT1" s="1" t="s">
        <v>24</v>
      </c>
      <c r="AU1" s="1">
        <v>3</v>
      </c>
      <c r="AV1" s="1" t="s">
        <v>24</v>
      </c>
      <c r="AW1" s="1">
        <v>4</v>
      </c>
      <c r="AX1" s="1" t="s">
        <v>24</v>
      </c>
      <c r="AY1" s="1">
        <v>5</v>
      </c>
      <c r="AZ1" s="1" t="s">
        <v>24</v>
      </c>
      <c r="BA1" s="1">
        <v>6</v>
      </c>
      <c r="BB1" s="1" t="s">
        <v>24</v>
      </c>
      <c r="BC1" s="1">
        <v>7</v>
      </c>
      <c r="BD1" s="1" t="s">
        <v>24</v>
      </c>
      <c r="BE1" s="1">
        <v>8</v>
      </c>
      <c r="BF1" s="1" t="s">
        <v>24</v>
      </c>
      <c r="BG1" s="1">
        <v>9</v>
      </c>
      <c r="BH1" s="1" t="s">
        <v>24</v>
      </c>
      <c r="BI1" s="2">
        <v>0</v>
      </c>
      <c r="BJ1" s="1" t="s">
        <v>24</v>
      </c>
      <c r="BK1" s="1">
        <v>1</v>
      </c>
      <c r="BL1" s="1" t="s">
        <v>24</v>
      </c>
      <c r="BM1" s="1">
        <v>2</v>
      </c>
      <c r="BN1" s="1" t="s">
        <v>24</v>
      </c>
      <c r="BO1" s="1">
        <v>3</v>
      </c>
      <c r="BP1" s="1" t="s">
        <v>24</v>
      </c>
      <c r="BQ1" s="1">
        <v>4</v>
      </c>
      <c r="BR1" s="1" t="s">
        <v>24</v>
      </c>
      <c r="BS1" s="1">
        <v>5</v>
      </c>
      <c r="BT1" s="1" t="s">
        <v>24</v>
      </c>
      <c r="BU1" s="1">
        <v>6</v>
      </c>
      <c r="BV1" s="1" t="s">
        <v>24</v>
      </c>
      <c r="BW1" s="1">
        <v>7</v>
      </c>
      <c r="BX1" s="1" t="s">
        <v>24</v>
      </c>
      <c r="BY1" s="1">
        <v>8</v>
      </c>
      <c r="BZ1" s="1" t="s">
        <v>24</v>
      </c>
      <c r="CA1" s="1">
        <v>9</v>
      </c>
      <c r="CB1" s="1" t="s">
        <v>24</v>
      </c>
      <c r="CC1" s="2">
        <v>0</v>
      </c>
      <c r="CD1" s="1" t="s">
        <v>24</v>
      </c>
      <c r="CE1" s="1">
        <v>1</v>
      </c>
      <c r="CF1" s="1" t="s">
        <v>24</v>
      </c>
      <c r="CG1" s="1">
        <v>2</v>
      </c>
      <c r="CH1" s="1" t="s">
        <v>24</v>
      </c>
      <c r="CI1" s="1">
        <v>3</v>
      </c>
      <c r="CJ1" s="1" t="s">
        <v>24</v>
      </c>
      <c r="CK1" s="1">
        <v>4</v>
      </c>
      <c r="CL1" s="1" t="s">
        <v>24</v>
      </c>
      <c r="CM1" s="2">
        <v>5</v>
      </c>
      <c r="CN1" s="1" t="s">
        <v>24</v>
      </c>
      <c r="CO1" s="1">
        <v>1</v>
      </c>
      <c r="CP1" s="1" t="s">
        <v>24</v>
      </c>
      <c r="CQ1" s="1">
        <v>2</v>
      </c>
      <c r="CR1" s="1" t="s">
        <v>24</v>
      </c>
      <c r="CS1" s="1">
        <v>3</v>
      </c>
      <c r="CT1" s="1" t="s">
        <v>24</v>
      </c>
      <c r="CU1" s="1">
        <v>4</v>
      </c>
      <c r="CV1" s="1" t="s">
        <v>24</v>
      </c>
      <c r="CW1" s="2">
        <v>5</v>
      </c>
      <c r="CX1" s="1" t="s">
        <v>24</v>
      </c>
      <c r="CY1" s="1">
        <v>1</v>
      </c>
      <c r="CZ1" s="1" t="s">
        <v>24</v>
      </c>
      <c r="DA1" s="1">
        <v>2</v>
      </c>
      <c r="DB1" s="1" t="s">
        <v>24</v>
      </c>
      <c r="DC1" s="1">
        <v>3</v>
      </c>
      <c r="DD1" s="1" t="s">
        <v>24</v>
      </c>
      <c r="DE1" s="1">
        <v>4</v>
      </c>
      <c r="DF1" s="1" t="s">
        <v>24</v>
      </c>
      <c r="DG1" s="2">
        <v>5</v>
      </c>
    </row>
    <row r="2" spans="1:111" ht="8.25" customHeight="1" x14ac:dyDescent="0.3">
      <c r="A2" s="2"/>
      <c r="U2" s="2"/>
      <c r="AO2" s="2"/>
      <c r="BI2" s="2"/>
      <c r="CC2" s="2"/>
      <c r="CM2" s="2"/>
      <c r="CW2" s="2"/>
      <c r="DG2" s="2"/>
    </row>
    <row r="3" spans="1:111" x14ac:dyDescent="0.3">
      <c r="A3" s="2"/>
      <c r="B3" s="4"/>
      <c r="C3" s="24" t="e">
        <f ca="1">MATCH(B3,$B$26:INDIRECT(ADDRESS(COUNTA($B:$B)+6,2,1,1,"גיליון2")))</f>
        <v>#N/A</v>
      </c>
      <c r="D3" s="4"/>
      <c r="E3" s="24" t="e">
        <f ca="1">MATCH(D3,$B$26:INDIRECT(ADDRESS(COUNTA($B:$B)+6,2,1,1,"גיליון2")))</f>
        <v>#N/A</v>
      </c>
      <c r="F3" s="4"/>
      <c r="G3" s="24" t="e">
        <f ca="1">MATCH(F3,$B$26:INDIRECT(ADDRESS(COUNTA($B:$B)+6,2,1,1,"גיליון2")))</f>
        <v>#N/A</v>
      </c>
      <c r="H3" s="4"/>
      <c r="I3" s="24" t="e">
        <f ca="1">MATCH(H3,$B$26:INDIRECT(ADDRESS(COUNTA($B:$B)+6,2,1,1,"גיליון2")))</f>
        <v>#N/A</v>
      </c>
      <c r="J3" s="4"/>
      <c r="K3" s="24" t="e">
        <f ca="1">MATCH(J3,$B$26:INDIRECT(ADDRESS(COUNTA($B:$B)+6,2,1,1,"גיליון2")))</f>
        <v>#N/A</v>
      </c>
      <c r="L3" s="4"/>
      <c r="M3" s="24" t="e">
        <f ca="1">MATCH(L3,$B$26:INDIRECT(ADDRESS(COUNTA($B:$B)+6,2,1,1,"גיליון2")))</f>
        <v>#N/A</v>
      </c>
      <c r="N3" s="4"/>
      <c r="O3" s="24" t="e">
        <f ca="1">MATCH(N3,$B$26:INDIRECT(ADDRESS(COUNTA($B:$B)+6,2,1,1,"גיליון2")))</f>
        <v>#N/A</v>
      </c>
      <c r="P3" s="4"/>
      <c r="Q3" s="24" t="e">
        <f ca="1">MATCH(P3,$B$26:INDIRECT(ADDRESS(COUNTA($B:$B)+6,2,1,1,"גיליון2")))</f>
        <v>#N/A</v>
      </c>
      <c r="R3" s="4"/>
      <c r="S3" s="24" t="e">
        <f ca="1">MATCH(R3,$B$26:INDIRECT(ADDRESS(COUNTA($B:$B)+6,2,1,1,"גיליון2")))</f>
        <v>#N/A</v>
      </c>
      <c r="T3" s="4"/>
      <c r="U3" s="32" t="e">
        <f ca="1">MATCH(T3,$B$26:INDIRECT(ADDRESS(COUNTA($B:$B)+6,2,1,1,"גיליון2")))</f>
        <v>#N/A</v>
      </c>
      <c r="V3" s="4"/>
      <c r="W3" s="24" t="e">
        <f ca="1">MATCH(V3,$B$26:INDIRECT(ADDRESS(COUNTA($B:$B)+6,2,1,1,"גיליון2")))</f>
        <v>#N/A</v>
      </c>
      <c r="X3" s="4"/>
      <c r="Y3" s="24" t="e">
        <f ca="1">MATCH(X3,$B$26:INDIRECT(ADDRESS(COUNTA($B:$B)+6,2,1,1,"גיליון2")))</f>
        <v>#N/A</v>
      </c>
      <c r="Z3" s="4"/>
      <c r="AA3" s="24" t="e">
        <f ca="1">MATCH(Z3,$B$26:INDIRECT(ADDRESS(COUNTA($B:$B)+6,2,1,1,"גיליון2")))</f>
        <v>#N/A</v>
      </c>
      <c r="AB3" s="4"/>
      <c r="AC3" s="24" t="e">
        <f ca="1">MATCH(AB3,$B$26:INDIRECT(ADDRESS(COUNTA($B:$B)+6,2,1,1,"גיליון2")))</f>
        <v>#N/A</v>
      </c>
      <c r="AD3" s="4"/>
      <c r="AE3" s="24" t="e">
        <f ca="1">MATCH(AD3,$B$26:INDIRECT(ADDRESS(COUNTA($B:$B)+6,2,1,1,"גיליון2")))</f>
        <v>#N/A</v>
      </c>
      <c r="AF3" s="4"/>
      <c r="AG3" s="24" t="e">
        <f ca="1">MATCH(AF3,$B$26:INDIRECT(ADDRESS(COUNTA($B:$B)+6,2,1,1,"גיליון2")))</f>
        <v>#N/A</v>
      </c>
      <c r="AH3" s="4"/>
      <c r="AI3" s="24" t="e">
        <f ca="1">MATCH(AH3,$B$26:INDIRECT(ADDRESS(COUNTA($B:$B)+6,2,1,1,"גיליון2")))</f>
        <v>#N/A</v>
      </c>
      <c r="AJ3" s="4"/>
      <c r="AK3" s="24" t="e">
        <f ca="1">MATCH(AJ3,$B$26:INDIRECT(ADDRESS(COUNTA($B:$B)+6,2,1,1,"גיליון2")))</f>
        <v>#N/A</v>
      </c>
      <c r="AL3" s="4"/>
      <c r="AM3" s="24" t="e">
        <f ca="1">MATCH(AL3,$B$26:INDIRECT(ADDRESS(COUNTA($B:$B)+6,2,1,1,"גיליון2")))</f>
        <v>#N/A</v>
      </c>
      <c r="AN3" s="4"/>
      <c r="AO3" s="32" t="e">
        <f ca="1">MATCH(AN3,$B$26:INDIRECT(ADDRESS(COUNTA($B:$B)+6,2,1,1,"גיליון2")))</f>
        <v>#N/A</v>
      </c>
      <c r="AP3" s="4"/>
      <c r="AQ3" s="24" t="e">
        <f ca="1">MATCH(AP3,$B$26:INDIRECT(ADDRESS(COUNTA($B:$B)+6,2,1,1,"גיליון2")))</f>
        <v>#N/A</v>
      </c>
      <c r="AR3" s="4"/>
      <c r="AS3" s="24" t="e">
        <f ca="1">MATCH(AR3,$B$26:INDIRECT(ADDRESS(COUNTA($B:$B)+6,2,1,1,"גיליון2")))</f>
        <v>#N/A</v>
      </c>
      <c r="AT3" s="4"/>
      <c r="AU3" s="24" t="e">
        <f ca="1">MATCH(AT3,$B$26:INDIRECT(ADDRESS(COUNTA($B:$B)+6,2,1,1,"גיליון2")))</f>
        <v>#N/A</v>
      </c>
      <c r="AV3" s="4"/>
      <c r="AW3" s="24" t="e">
        <f ca="1">MATCH(AV3,$B$26:INDIRECT(ADDRESS(COUNTA($B:$B)+6,2,1,1,"גיליון2")))</f>
        <v>#N/A</v>
      </c>
      <c r="AX3" s="4"/>
      <c r="AY3" s="24" t="e">
        <f ca="1">MATCH(AX3,$B$26:INDIRECT(ADDRESS(COUNTA($B:$B)+6,2,1,1,"גיליון2")))</f>
        <v>#N/A</v>
      </c>
      <c r="AZ3" s="4"/>
      <c r="BA3" s="24" t="e">
        <f ca="1">MATCH(AZ3,$B$26:INDIRECT(ADDRESS(COUNTA($B:$B)+6,2,1,1,"גיליון2")))</f>
        <v>#N/A</v>
      </c>
      <c r="BB3" s="4"/>
      <c r="BC3" s="24" t="e">
        <f ca="1">MATCH(BB3,$B$26:INDIRECT(ADDRESS(COUNTA($B:$B)+6,2,1,1,"גיליון2")))</f>
        <v>#N/A</v>
      </c>
      <c r="BD3" s="4"/>
      <c r="BE3" s="24" t="e">
        <f ca="1">MATCH(BD3,$B$26:INDIRECT(ADDRESS(COUNTA($B:$B)+6,2,1,1,"גיליון2")))</f>
        <v>#N/A</v>
      </c>
      <c r="BF3" s="4"/>
      <c r="BG3" s="24" t="e">
        <f ca="1">MATCH(BF3,$B$26:INDIRECT(ADDRESS(COUNTA($B:$B)+6,2,1,1,"גיליון2")))</f>
        <v>#N/A</v>
      </c>
      <c r="BH3" s="4"/>
      <c r="BI3" s="32" t="e">
        <f ca="1">MATCH(BH3,$B$26:INDIRECT(ADDRESS(COUNTA($B:$B)+6,2,1,1,"גיליון2")))</f>
        <v>#N/A</v>
      </c>
      <c r="BJ3" s="4"/>
      <c r="BK3" s="24" t="e">
        <f ca="1">MATCH(BJ3,$B$26:INDIRECT(ADDRESS(COUNTA($B:$B)+6,2,1,1,"גיליון2")))</f>
        <v>#N/A</v>
      </c>
      <c r="BL3" s="4"/>
      <c r="BM3" s="24" t="e">
        <f ca="1">MATCH(BL3,$B$26:INDIRECT(ADDRESS(COUNTA($B:$B)+6,2,1,1,"גיליון2")))</f>
        <v>#N/A</v>
      </c>
      <c r="BN3" s="4"/>
      <c r="BO3" s="24" t="e">
        <f ca="1">MATCH(BN3,$B$26:INDIRECT(ADDRESS(COUNTA($B:$B)+6,2,1,1,"גיליון2")))</f>
        <v>#N/A</v>
      </c>
      <c r="BP3" s="4"/>
      <c r="BQ3" s="24" t="e">
        <f ca="1">MATCH(BP3,$B$26:INDIRECT(ADDRESS(COUNTA($B:$B)+6,2,1,1,"גיליון2")))</f>
        <v>#N/A</v>
      </c>
      <c r="BR3" s="4"/>
      <c r="BS3" s="24" t="e">
        <f ca="1">MATCH(BR3,$B$26:INDIRECT(ADDRESS(COUNTA($B:$B)+6,2,1,1,"גיליון2")))</f>
        <v>#N/A</v>
      </c>
      <c r="BT3" s="4"/>
      <c r="BU3" s="24" t="e">
        <f ca="1">MATCH(BT3,$B$26:INDIRECT(ADDRESS(COUNTA($B:$B)+6,2,1,1,"גיליון2")))</f>
        <v>#N/A</v>
      </c>
      <c r="BV3" s="4"/>
      <c r="BW3" s="24" t="e">
        <f ca="1">MATCH(BV3,$B$26:INDIRECT(ADDRESS(COUNTA($B:$B)+6,2,1,1,"גיליון2")))</f>
        <v>#N/A</v>
      </c>
      <c r="BX3" s="4"/>
      <c r="BY3" s="24" t="e">
        <f ca="1">MATCH(BX3,$B$26:INDIRECT(ADDRESS(COUNTA($B:$B)+6,2,1,1,"גיליון2")))</f>
        <v>#N/A</v>
      </c>
      <c r="BZ3" s="4"/>
      <c r="CA3" s="24" t="e">
        <f ca="1">MATCH(BZ3,$B$26:INDIRECT(ADDRESS(COUNTA($B:$B)+6,2,1,1,"גיליון2")))</f>
        <v>#N/A</v>
      </c>
      <c r="CB3" s="4"/>
      <c r="CC3" s="32" t="e">
        <f ca="1">MATCH(CB3,$B$26:INDIRECT(ADDRESS(COUNTA($B:$B)+6,2,1,1,"גיליון2")))</f>
        <v>#N/A</v>
      </c>
      <c r="CD3" s="4"/>
      <c r="CE3" s="24" t="e">
        <f ca="1">MATCH(CD3,$B$26:INDIRECT(ADDRESS(COUNTA($B:$B)+6,2,1,1,"גיליון2")))</f>
        <v>#N/A</v>
      </c>
      <c r="CF3" s="4"/>
      <c r="CG3" s="24" t="e">
        <f ca="1">MATCH(CF3,$B$26:INDIRECT(ADDRESS(COUNTA($B:$B)+6,2,1,1,"גיליון2")))</f>
        <v>#N/A</v>
      </c>
      <c r="CH3" s="4"/>
      <c r="CI3" s="24" t="e">
        <f ca="1">MATCH(CH3,$B$26:INDIRECT(ADDRESS(COUNTA($B:$B)+6,2,1,1,"גיליון2")))</f>
        <v>#N/A</v>
      </c>
      <c r="CJ3" s="4"/>
      <c r="CK3" s="24" t="e">
        <f ca="1">MATCH(CJ3,$B$26:INDIRECT(ADDRESS(COUNTA($B:$B)+6,2,1,1,"גיליון2")))</f>
        <v>#N/A</v>
      </c>
      <c r="CL3" s="4"/>
      <c r="CM3" s="32" t="e">
        <f ca="1">MATCH(CL3,$B$26:INDIRECT(ADDRESS(COUNTA($B:$B)+6,2,1,1,"גיליון2")))</f>
        <v>#N/A</v>
      </c>
      <c r="CN3" s="4"/>
      <c r="CO3" s="24" t="e">
        <f ca="1">MATCH(CN3,$B$26:INDIRECT(ADDRESS(COUNTA($B:$B)+6,2,1,1,"גיליון2")))</f>
        <v>#N/A</v>
      </c>
      <c r="CP3" s="4"/>
      <c r="CQ3" s="24" t="e">
        <f ca="1">MATCH(CP3,$B$26:INDIRECT(ADDRESS(COUNTA($B:$B)+6,2,1,1,"גיליון2")))</f>
        <v>#N/A</v>
      </c>
      <c r="CR3" s="4"/>
      <c r="CS3" s="24" t="e">
        <f ca="1">MATCH(CR3,$B$26:INDIRECT(ADDRESS(COUNTA($B:$B)+6,2,1,1,"גיליון2")))</f>
        <v>#N/A</v>
      </c>
      <c r="CT3" s="4"/>
      <c r="CU3" s="24" t="e">
        <f ca="1">MATCH(CT3,$B$26:INDIRECT(ADDRESS(COUNTA($B:$B)+6,2,1,1,"גיליון2")))</f>
        <v>#N/A</v>
      </c>
      <c r="CV3" s="4"/>
      <c r="CW3" s="32" t="e">
        <f ca="1">MATCH(CV3,$B$26:INDIRECT(ADDRESS(COUNTA($B:$B)+6,2,1,1,"גיליון2")))</f>
        <v>#N/A</v>
      </c>
      <c r="CX3" s="4"/>
      <c r="CY3" s="24" t="e">
        <f ca="1">MATCH(CX3,$B$26:INDIRECT(ADDRESS(COUNTA($B:$B)+6,2,1,1,"גיליון2")))</f>
        <v>#N/A</v>
      </c>
      <c r="CZ3" s="4"/>
      <c r="DA3" s="24" t="e">
        <f ca="1">MATCH(CZ3,$B$26:INDIRECT(ADDRESS(COUNTA($B:$B)+6,2,1,1,"גיליון2")))</f>
        <v>#N/A</v>
      </c>
      <c r="DB3" s="4"/>
      <c r="DC3" s="24" t="e">
        <f ca="1">MATCH(DB3,$B$26:INDIRECT(ADDRESS(COUNTA($B:$B)+6,2,1,1,"גיליון2")))</f>
        <v>#N/A</v>
      </c>
      <c r="DD3" s="4"/>
      <c r="DE3" s="24" t="e">
        <f ca="1">MATCH(DD3,$B$26:INDIRECT(ADDRESS(COUNTA($B:$B)+6,2,1,1,"גיליון2")))</f>
        <v>#N/A</v>
      </c>
      <c r="DF3" s="4"/>
      <c r="DG3" s="32" t="e">
        <f ca="1">MATCH(DF3,$B$26:INDIRECT(ADDRESS(COUNTA($B:$B)+6,2,1,1,"גיליון2")))</f>
        <v>#N/A</v>
      </c>
    </row>
    <row r="4" spans="1:111" x14ac:dyDescent="0.3">
      <c r="A4" s="2"/>
      <c r="B4" s="4"/>
      <c r="C4" s="24" t="e">
        <f ca="1">MATCH(B4,$B$26:INDIRECT(ADDRESS(COUNTA($B:$B)+6,2,1,1,"גיליון2")))</f>
        <v>#N/A</v>
      </c>
      <c r="D4" s="4"/>
      <c r="E4" s="24" t="e">
        <f ca="1">MATCH(D4,$B$26:INDIRECT(ADDRESS(COUNTA($B:$B)+6,2,1,1,"גיליון2")))</f>
        <v>#N/A</v>
      </c>
      <c r="F4" s="4"/>
      <c r="G4" s="24" t="e">
        <f ca="1">MATCH(F4,$B$26:INDIRECT(ADDRESS(COUNTA($B:$B)+6,2,1,1,"גיליון2")))</f>
        <v>#N/A</v>
      </c>
      <c r="H4" s="4"/>
      <c r="I4" s="24" t="e">
        <f ca="1">MATCH(H4,$B$26:INDIRECT(ADDRESS(COUNTA($B:$B)+6,2,1,1,"גיליון2")))</f>
        <v>#N/A</v>
      </c>
      <c r="J4" s="4"/>
      <c r="K4" s="24" t="e">
        <f ca="1">MATCH(J4,$B$26:INDIRECT(ADDRESS(COUNTA($B:$B)+6,2,1,1,"גיליון2")))</f>
        <v>#N/A</v>
      </c>
      <c r="L4" s="4"/>
      <c r="M4" s="24" t="e">
        <f ca="1">MATCH(L4,$B$26:INDIRECT(ADDRESS(COUNTA($B:$B)+6,2,1,1,"גיליון2")))</f>
        <v>#N/A</v>
      </c>
      <c r="N4" s="4"/>
      <c r="O4" s="24" t="e">
        <f ca="1">MATCH(N4,$B$26:INDIRECT(ADDRESS(COUNTA($B:$B)+6,2,1,1,"גיליון2")))</f>
        <v>#N/A</v>
      </c>
      <c r="P4" s="4"/>
      <c r="Q4" s="24" t="e">
        <f ca="1">MATCH(P4,$B$26:INDIRECT(ADDRESS(COUNTA($B:$B)+6,2,1,1,"גיליון2")))</f>
        <v>#N/A</v>
      </c>
      <c r="R4" s="4"/>
      <c r="S4" s="24" t="e">
        <f ca="1">MATCH(R4,$B$26:INDIRECT(ADDRESS(COUNTA($B:$B)+6,2,1,1,"גיליון2")))</f>
        <v>#N/A</v>
      </c>
      <c r="T4" s="4"/>
      <c r="U4" s="32" t="e">
        <f ca="1">MATCH(T4,$B$26:INDIRECT(ADDRESS(COUNTA($B:$B)+6,2,1,1,"גיליון2")))</f>
        <v>#N/A</v>
      </c>
      <c r="V4" s="4"/>
      <c r="W4" s="24" t="e">
        <f ca="1">MATCH(V4,$B$26:INDIRECT(ADDRESS(COUNTA($B:$B)+6,2,1,1,"גיליון2")))</f>
        <v>#N/A</v>
      </c>
      <c r="X4" s="4"/>
      <c r="Y4" s="24" t="e">
        <f ca="1">MATCH(X4,$B$26:INDIRECT(ADDRESS(COUNTA($B:$B)+6,2,1,1,"גיליון2")))</f>
        <v>#N/A</v>
      </c>
      <c r="Z4" s="4"/>
      <c r="AA4" s="24" t="e">
        <f ca="1">MATCH(Z4,$B$26:INDIRECT(ADDRESS(COUNTA($B:$B)+6,2,1,1,"גיליון2")))</f>
        <v>#N/A</v>
      </c>
      <c r="AB4" s="4"/>
      <c r="AC4" s="24" t="e">
        <f ca="1">MATCH(AB4,$B$26:INDIRECT(ADDRESS(COUNTA($B:$B)+6,2,1,1,"גיליון2")))</f>
        <v>#N/A</v>
      </c>
      <c r="AD4" s="4"/>
      <c r="AE4" s="24" t="e">
        <f ca="1">MATCH(AD4,$B$26:INDIRECT(ADDRESS(COUNTA($B:$B)+6,2,1,1,"גיליון2")))</f>
        <v>#N/A</v>
      </c>
      <c r="AF4" s="4"/>
      <c r="AG4" s="24" t="e">
        <f ca="1">MATCH(AF4,$B$26:INDIRECT(ADDRESS(COUNTA($B:$B)+6,2,1,1,"גיליון2")))</f>
        <v>#N/A</v>
      </c>
      <c r="AH4" s="4"/>
      <c r="AI4" s="24" t="e">
        <f ca="1">MATCH(AH4,$B$26:INDIRECT(ADDRESS(COUNTA($B:$B)+6,2,1,1,"גיליון2")))</f>
        <v>#N/A</v>
      </c>
      <c r="AJ4" s="4"/>
      <c r="AK4" s="24" t="e">
        <f ca="1">MATCH(AJ4,$B$26:INDIRECT(ADDRESS(COUNTA($B:$B)+6,2,1,1,"גיליון2")))</f>
        <v>#N/A</v>
      </c>
      <c r="AL4" s="4"/>
      <c r="AM4" s="24" t="e">
        <f ca="1">MATCH(AL4,$B$26:INDIRECT(ADDRESS(COUNTA($B:$B)+6,2,1,1,"גיליון2")))</f>
        <v>#N/A</v>
      </c>
      <c r="AN4" s="4"/>
      <c r="AO4" s="32" t="e">
        <f ca="1">MATCH(AN4,$B$26:INDIRECT(ADDRESS(COUNTA($B:$B)+6,2,1,1,"גיליון2")))</f>
        <v>#N/A</v>
      </c>
      <c r="AP4" s="4"/>
      <c r="AQ4" s="24" t="e">
        <f ca="1">MATCH(AP4,$B$26:INDIRECT(ADDRESS(COUNTA($B:$B)+6,2,1,1,"גיליון2")))</f>
        <v>#N/A</v>
      </c>
      <c r="AR4" s="4"/>
      <c r="AS4" s="24" t="e">
        <f ca="1">MATCH(AR4,$B$26:INDIRECT(ADDRESS(COUNTA($B:$B)+6,2,1,1,"גיליון2")))</f>
        <v>#N/A</v>
      </c>
      <c r="AT4" s="4"/>
      <c r="AU4" s="24" t="e">
        <f ca="1">MATCH(AT4,$B$26:INDIRECT(ADDRESS(COUNTA($B:$B)+6,2,1,1,"גיליון2")))</f>
        <v>#N/A</v>
      </c>
      <c r="AV4" s="4"/>
      <c r="AW4" s="24" t="e">
        <f ca="1">MATCH(AV4,$B$26:INDIRECT(ADDRESS(COUNTA($B:$B)+6,2,1,1,"גיליון2")))</f>
        <v>#N/A</v>
      </c>
      <c r="AX4" s="4"/>
      <c r="AY4" s="24" t="e">
        <f ca="1">MATCH(AX4,$B$26:INDIRECT(ADDRESS(COUNTA($B:$B)+6,2,1,1,"גיליון2")))</f>
        <v>#N/A</v>
      </c>
      <c r="AZ4" s="4"/>
      <c r="BA4" s="24" t="e">
        <f ca="1">MATCH(AZ4,$B$26:INDIRECT(ADDRESS(COUNTA($B:$B)+6,2,1,1,"גיליון2")))</f>
        <v>#N/A</v>
      </c>
      <c r="BB4" s="4"/>
      <c r="BC4" s="24" t="e">
        <f ca="1">MATCH(BB4,$B$26:INDIRECT(ADDRESS(COUNTA($B:$B)+6,2,1,1,"גיליון2")))</f>
        <v>#N/A</v>
      </c>
      <c r="BD4" s="4"/>
      <c r="BE4" s="24" t="e">
        <f ca="1">MATCH(BD4,$B$26:INDIRECT(ADDRESS(COUNTA($B:$B)+6,2,1,1,"גיליון2")))</f>
        <v>#N/A</v>
      </c>
      <c r="BF4" s="4"/>
      <c r="BG4" s="24" t="e">
        <f ca="1">MATCH(BF4,$B$26:INDIRECT(ADDRESS(COUNTA($B:$B)+6,2,1,1,"גיליון2")))</f>
        <v>#N/A</v>
      </c>
      <c r="BH4" s="4"/>
      <c r="BI4" s="32" t="e">
        <f ca="1">MATCH(BH4,$B$26:INDIRECT(ADDRESS(COUNTA($B:$B)+6,2,1,1,"גיליון2")))</f>
        <v>#N/A</v>
      </c>
      <c r="BJ4" s="4"/>
      <c r="BK4" s="24" t="e">
        <f ca="1">MATCH(BJ4,$B$26:INDIRECT(ADDRESS(COUNTA($B:$B)+6,2,1,1,"גיליון2")))</f>
        <v>#N/A</v>
      </c>
      <c r="BL4" s="4"/>
      <c r="BM4" s="24" t="e">
        <f ca="1">MATCH(BL4,$B$26:INDIRECT(ADDRESS(COUNTA($B:$B)+6,2,1,1,"גיליון2")))</f>
        <v>#N/A</v>
      </c>
      <c r="BN4" s="4"/>
      <c r="BO4" s="24" t="e">
        <f ca="1">MATCH(BN4,$B$26:INDIRECT(ADDRESS(COUNTA($B:$B)+6,2,1,1,"גיליון2")))</f>
        <v>#N/A</v>
      </c>
      <c r="BP4" s="4"/>
      <c r="BQ4" s="24" t="e">
        <f ca="1">MATCH(BP4,$B$26:INDIRECT(ADDRESS(COUNTA($B:$B)+6,2,1,1,"גיליון2")))</f>
        <v>#N/A</v>
      </c>
      <c r="BR4" s="4"/>
      <c r="BS4" s="24" t="e">
        <f ca="1">MATCH(BR4,$B$26:INDIRECT(ADDRESS(COUNTA($B:$B)+6,2,1,1,"גיליון2")))</f>
        <v>#N/A</v>
      </c>
      <c r="BT4" s="4"/>
      <c r="BU4" s="24" t="e">
        <f ca="1">MATCH(BT4,$B$26:INDIRECT(ADDRESS(COUNTA($B:$B)+6,2,1,1,"גיליון2")))</f>
        <v>#N/A</v>
      </c>
      <c r="BV4" s="4"/>
      <c r="BW4" s="24" t="e">
        <f ca="1">MATCH(BV4,$B$26:INDIRECT(ADDRESS(COUNTA($B:$B)+6,2,1,1,"גיליון2")))</f>
        <v>#N/A</v>
      </c>
      <c r="BX4" s="4"/>
      <c r="BY4" s="24" t="e">
        <f ca="1">MATCH(BX4,$B$26:INDIRECT(ADDRESS(COUNTA($B:$B)+6,2,1,1,"גיליון2")))</f>
        <v>#N/A</v>
      </c>
      <c r="BZ4" s="4"/>
      <c r="CA4" s="24" t="e">
        <f ca="1">MATCH(BZ4,$B$26:INDIRECT(ADDRESS(COUNTA($B:$B)+6,2,1,1,"גיליון2")))</f>
        <v>#N/A</v>
      </c>
      <c r="CB4" s="4"/>
      <c r="CC4" s="32" t="e">
        <f ca="1">MATCH(CB4,$B$26:INDIRECT(ADDRESS(COUNTA($B:$B)+6,2,1,1,"גיליון2")))</f>
        <v>#N/A</v>
      </c>
      <c r="CD4" s="4"/>
      <c r="CE4" s="24" t="e">
        <f ca="1">MATCH(CD4,$B$26:INDIRECT(ADDRESS(COUNTA($B:$B)+6,2,1,1,"גיליון2")))</f>
        <v>#N/A</v>
      </c>
      <c r="CF4" s="4"/>
      <c r="CG4" s="24" t="e">
        <f ca="1">MATCH(CF4,$B$26:INDIRECT(ADDRESS(COUNTA($B:$B)+6,2,1,1,"גיליון2")))</f>
        <v>#N/A</v>
      </c>
      <c r="CH4" s="4"/>
      <c r="CI4" s="24" t="e">
        <f ca="1">MATCH(CH4,$B$26:INDIRECT(ADDRESS(COUNTA($B:$B)+6,2,1,1,"גיליון2")))</f>
        <v>#N/A</v>
      </c>
      <c r="CJ4" s="4"/>
      <c r="CK4" s="24" t="e">
        <f ca="1">MATCH(CJ4,$B$26:INDIRECT(ADDRESS(COUNTA($B:$B)+6,2,1,1,"גיליון2")))</f>
        <v>#N/A</v>
      </c>
      <c r="CL4" s="4"/>
      <c r="CM4" s="32" t="e">
        <f ca="1">MATCH(CL4,$B$26:INDIRECT(ADDRESS(COUNTA($B:$B)+6,2,1,1,"גיליון2")))</f>
        <v>#N/A</v>
      </c>
      <c r="CN4" s="4"/>
      <c r="CO4" s="24" t="e">
        <f ca="1">MATCH(CN4,$B$26:INDIRECT(ADDRESS(COUNTA($B:$B)+6,2,1,1,"גיליון2")))</f>
        <v>#N/A</v>
      </c>
      <c r="CP4" s="4"/>
      <c r="CQ4" s="24" t="e">
        <f ca="1">MATCH(CP4,$B$26:INDIRECT(ADDRESS(COUNTA($B:$B)+6,2,1,1,"גיליון2")))</f>
        <v>#N/A</v>
      </c>
      <c r="CR4" s="4"/>
      <c r="CS4" s="24" t="e">
        <f ca="1">MATCH(CR4,$B$26:INDIRECT(ADDRESS(COUNTA($B:$B)+6,2,1,1,"גיליון2")))</f>
        <v>#N/A</v>
      </c>
      <c r="CT4" s="4"/>
      <c r="CU4" s="24" t="e">
        <f ca="1">MATCH(CT4,$B$26:INDIRECT(ADDRESS(COUNTA($B:$B)+6,2,1,1,"גיליון2")))</f>
        <v>#N/A</v>
      </c>
      <c r="CV4" s="4"/>
      <c r="CW4" s="32" t="e">
        <f ca="1">MATCH(CV4,$B$26:INDIRECT(ADDRESS(COUNTA($B:$B)+6,2,1,1,"גיליון2")))</f>
        <v>#N/A</v>
      </c>
      <c r="CX4" s="4"/>
      <c r="CY4" s="24" t="e">
        <f ca="1">MATCH(CX4,$B$26:INDIRECT(ADDRESS(COUNTA($B:$B)+6,2,1,1,"גיליון2")))</f>
        <v>#N/A</v>
      </c>
      <c r="CZ4" s="4"/>
      <c r="DA4" s="24" t="e">
        <f ca="1">MATCH(CZ4,$B$26:INDIRECT(ADDRESS(COUNTA($B:$B)+6,2,1,1,"גיליון2")))</f>
        <v>#N/A</v>
      </c>
      <c r="DB4" s="4"/>
      <c r="DC4" s="24" t="e">
        <f ca="1">MATCH(DB4,$B$26:INDIRECT(ADDRESS(COUNTA($B:$B)+6,2,1,1,"גיליון2")))</f>
        <v>#N/A</v>
      </c>
      <c r="DD4" s="4"/>
      <c r="DE4" s="24" t="e">
        <f ca="1">MATCH(DD4,$B$26:INDIRECT(ADDRESS(COUNTA($B:$B)+6,2,1,1,"גיליון2")))</f>
        <v>#N/A</v>
      </c>
      <c r="DF4" s="4"/>
      <c r="DG4" s="32" t="e">
        <f ca="1">MATCH(DF4,$B$26:INDIRECT(ADDRESS(COUNTA($B:$B)+6,2,1,1,"גיליון2")))</f>
        <v>#N/A</v>
      </c>
    </row>
    <row r="5" spans="1:111" x14ac:dyDescent="0.3">
      <c r="A5" s="2"/>
      <c r="B5" s="4"/>
      <c r="C5" s="24" t="e">
        <f ca="1">MATCH(B5,$B$26:INDIRECT(ADDRESS(COUNTA($B:$B)+6,2,1,1,"גיליון2")))</f>
        <v>#N/A</v>
      </c>
      <c r="D5" s="4"/>
      <c r="E5" s="24" t="e">
        <f ca="1">MATCH(D5,$B$26:INDIRECT(ADDRESS(COUNTA($B:$B)+6,2,1,1,"גיליון2")))</f>
        <v>#N/A</v>
      </c>
      <c r="F5" s="4"/>
      <c r="G5" s="24" t="e">
        <f ca="1">MATCH(F5,$B$26:INDIRECT(ADDRESS(COUNTA($B:$B)+6,2,1,1,"גיליון2")))</f>
        <v>#N/A</v>
      </c>
      <c r="H5" s="4"/>
      <c r="I5" s="24" t="e">
        <f ca="1">MATCH(H5,$B$26:INDIRECT(ADDRESS(COUNTA($B:$B)+6,2,1,1,"גיליון2")))</f>
        <v>#N/A</v>
      </c>
      <c r="J5" s="4"/>
      <c r="K5" s="24" t="e">
        <f ca="1">MATCH(J5,$B$26:INDIRECT(ADDRESS(COUNTA($B:$B)+6,2,1,1,"גיליון2")))</f>
        <v>#N/A</v>
      </c>
      <c r="L5" s="4"/>
      <c r="M5" s="24" t="e">
        <f ca="1">MATCH(L5,$B$26:INDIRECT(ADDRESS(COUNTA($B:$B)+6,2,1,1,"גיליון2")))</f>
        <v>#N/A</v>
      </c>
      <c r="N5" s="4"/>
      <c r="O5" s="24" t="e">
        <f ca="1">MATCH(N5,$B$26:INDIRECT(ADDRESS(COUNTA($B:$B)+6,2,1,1,"גיליון2")))</f>
        <v>#N/A</v>
      </c>
      <c r="P5" s="4"/>
      <c r="Q5" s="24" t="e">
        <f ca="1">MATCH(P5,$B$26:INDIRECT(ADDRESS(COUNTA($B:$B)+6,2,1,1,"גיליון2")))</f>
        <v>#N/A</v>
      </c>
      <c r="R5" s="4"/>
      <c r="S5" s="24" t="e">
        <f ca="1">MATCH(R5,$B$26:INDIRECT(ADDRESS(COUNTA($B:$B)+6,2,1,1,"גיליון2")))</f>
        <v>#N/A</v>
      </c>
      <c r="T5" s="4"/>
      <c r="U5" s="32" t="e">
        <f ca="1">MATCH(T5,$B$26:INDIRECT(ADDRESS(COUNTA($B:$B)+6,2,1,1,"גיליון2")))</f>
        <v>#N/A</v>
      </c>
      <c r="V5" s="4"/>
      <c r="W5" s="24" t="e">
        <f ca="1">MATCH(V5,$B$26:INDIRECT(ADDRESS(COUNTA($B:$B)+6,2,1,1,"גיליון2")))</f>
        <v>#N/A</v>
      </c>
      <c r="X5" s="4"/>
      <c r="Y5" s="24" t="e">
        <f ca="1">MATCH(X5,$B$26:INDIRECT(ADDRESS(COUNTA($B:$B)+6,2,1,1,"גיליון2")))</f>
        <v>#N/A</v>
      </c>
      <c r="Z5" s="4"/>
      <c r="AA5" s="24" t="e">
        <f ca="1">MATCH(Z5,$B$26:INDIRECT(ADDRESS(COUNTA($B:$B)+6,2,1,1,"גיליון2")))</f>
        <v>#N/A</v>
      </c>
      <c r="AB5" s="4"/>
      <c r="AC5" s="24" t="e">
        <f ca="1">MATCH(AB5,$B$26:INDIRECT(ADDRESS(COUNTA($B:$B)+6,2,1,1,"גיליון2")))</f>
        <v>#N/A</v>
      </c>
      <c r="AD5" s="4"/>
      <c r="AE5" s="24" t="e">
        <f ca="1">MATCH(AD5,$B$26:INDIRECT(ADDRESS(COUNTA($B:$B)+6,2,1,1,"גיליון2")))</f>
        <v>#N/A</v>
      </c>
      <c r="AF5" s="4"/>
      <c r="AG5" s="24" t="e">
        <f ca="1">MATCH(AF5,$B$26:INDIRECT(ADDRESS(COUNTA($B:$B)+6,2,1,1,"גיליון2")))</f>
        <v>#N/A</v>
      </c>
      <c r="AH5" s="4"/>
      <c r="AI5" s="24" t="e">
        <f ca="1">MATCH(AH5,$B$26:INDIRECT(ADDRESS(COUNTA($B:$B)+6,2,1,1,"גיליון2")))</f>
        <v>#N/A</v>
      </c>
      <c r="AJ5" s="4"/>
      <c r="AK5" s="24" t="e">
        <f ca="1">MATCH(AJ5,$B$26:INDIRECT(ADDRESS(COUNTA($B:$B)+6,2,1,1,"גיליון2")))</f>
        <v>#N/A</v>
      </c>
      <c r="AL5" s="4"/>
      <c r="AM5" s="24" t="e">
        <f ca="1">MATCH(AL5,$B$26:INDIRECT(ADDRESS(COUNTA($B:$B)+6,2,1,1,"גיליון2")))</f>
        <v>#N/A</v>
      </c>
      <c r="AN5" s="4"/>
      <c r="AO5" s="32" t="e">
        <f ca="1">MATCH(AN5,$B$26:INDIRECT(ADDRESS(COUNTA($B:$B)+6,2,1,1,"גיליון2")))</f>
        <v>#N/A</v>
      </c>
      <c r="AP5" s="4"/>
      <c r="AQ5" s="24" t="e">
        <f ca="1">MATCH(AP5,$B$26:INDIRECT(ADDRESS(COUNTA($B:$B)+6,2,1,1,"גיליון2")))</f>
        <v>#N/A</v>
      </c>
      <c r="AR5" s="4"/>
      <c r="AS5" s="24" t="e">
        <f ca="1">MATCH(AR5,$B$26:INDIRECT(ADDRESS(COUNTA($B:$B)+6,2,1,1,"גיליון2")))</f>
        <v>#N/A</v>
      </c>
      <c r="AT5" s="4"/>
      <c r="AU5" s="24" t="e">
        <f ca="1">MATCH(AT5,$B$26:INDIRECT(ADDRESS(COUNTA($B:$B)+6,2,1,1,"גיליון2")))</f>
        <v>#N/A</v>
      </c>
      <c r="AV5" s="4"/>
      <c r="AW5" s="24" t="e">
        <f ca="1">MATCH(AV5,$B$26:INDIRECT(ADDRESS(COUNTA($B:$B)+6,2,1,1,"גיליון2")))</f>
        <v>#N/A</v>
      </c>
      <c r="AX5" s="4"/>
      <c r="AY5" s="24" t="e">
        <f ca="1">MATCH(AX5,$B$26:INDIRECT(ADDRESS(COUNTA($B:$B)+6,2,1,1,"גיליון2")))</f>
        <v>#N/A</v>
      </c>
      <c r="AZ5" s="4"/>
      <c r="BA5" s="24" t="e">
        <f ca="1">MATCH(AZ5,$B$26:INDIRECT(ADDRESS(COUNTA($B:$B)+6,2,1,1,"גיליון2")))</f>
        <v>#N/A</v>
      </c>
      <c r="BB5" s="4"/>
      <c r="BC5" s="24" t="e">
        <f ca="1">MATCH(BB5,$B$26:INDIRECT(ADDRESS(COUNTA($B:$B)+6,2,1,1,"גיליון2")))</f>
        <v>#N/A</v>
      </c>
      <c r="BD5" s="4"/>
      <c r="BE5" s="24" t="e">
        <f ca="1">MATCH(BD5,$B$26:INDIRECT(ADDRESS(COUNTA($B:$B)+6,2,1,1,"גיליון2")))</f>
        <v>#N/A</v>
      </c>
      <c r="BF5" s="4"/>
      <c r="BG5" s="24" t="e">
        <f ca="1">MATCH(BF5,$B$26:INDIRECT(ADDRESS(COUNTA($B:$B)+6,2,1,1,"גיליון2")))</f>
        <v>#N/A</v>
      </c>
      <c r="BH5" s="4"/>
      <c r="BI5" s="32" t="e">
        <f ca="1">MATCH(BH5,$B$26:INDIRECT(ADDRESS(COUNTA($B:$B)+6,2,1,1,"גיליון2")))</f>
        <v>#N/A</v>
      </c>
      <c r="BJ5" s="4"/>
      <c r="BK5" s="24" t="e">
        <f ca="1">MATCH(BJ5,$B$26:INDIRECT(ADDRESS(COUNTA($B:$B)+6,2,1,1,"גיליון2")))</f>
        <v>#N/A</v>
      </c>
      <c r="BL5" s="4"/>
      <c r="BM5" s="24" t="e">
        <f ca="1">MATCH(BL5,$B$26:INDIRECT(ADDRESS(COUNTA($B:$B)+6,2,1,1,"גיליון2")))</f>
        <v>#N/A</v>
      </c>
      <c r="BN5" s="4"/>
      <c r="BO5" s="24" t="e">
        <f ca="1">MATCH(BN5,$B$26:INDIRECT(ADDRESS(COUNTA($B:$B)+6,2,1,1,"גיליון2")))</f>
        <v>#N/A</v>
      </c>
      <c r="BP5" s="4"/>
      <c r="BQ5" s="24" t="e">
        <f ca="1">MATCH(BP5,$B$26:INDIRECT(ADDRESS(COUNTA($B:$B)+6,2,1,1,"גיליון2")))</f>
        <v>#N/A</v>
      </c>
      <c r="BR5" s="4"/>
      <c r="BS5" s="24" t="e">
        <f ca="1">MATCH(BR5,$B$26:INDIRECT(ADDRESS(COUNTA($B:$B)+6,2,1,1,"גיליון2")))</f>
        <v>#N/A</v>
      </c>
      <c r="BT5" s="4"/>
      <c r="BU5" s="24" t="e">
        <f ca="1">MATCH(BT5,$B$26:INDIRECT(ADDRESS(COUNTA($B:$B)+6,2,1,1,"גיליון2")))</f>
        <v>#N/A</v>
      </c>
      <c r="BV5" s="4"/>
      <c r="BW5" s="24" t="e">
        <f ca="1">MATCH(BV5,$B$26:INDIRECT(ADDRESS(COUNTA($B:$B)+6,2,1,1,"גיליון2")))</f>
        <v>#N/A</v>
      </c>
      <c r="BX5" s="4"/>
      <c r="BY5" s="24" t="e">
        <f ca="1">MATCH(BX5,$B$26:INDIRECT(ADDRESS(COUNTA($B:$B)+6,2,1,1,"גיליון2")))</f>
        <v>#N/A</v>
      </c>
      <c r="BZ5" s="4"/>
      <c r="CA5" s="24" t="e">
        <f ca="1">MATCH(BZ5,$B$26:INDIRECT(ADDRESS(COUNTA($B:$B)+6,2,1,1,"גיליון2")))</f>
        <v>#N/A</v>
      </c>
      <c r="CB5" s="4"/>
      <c r="CC5" s="32" t="e">
        <f ca="1">MATCH(CB5,$B$26:INDIRECT(ADDRESS(COUNTA($B:$B)+6,2,1,1,"גיליון2")))</f>
        <v>#N/A</v>
      </c>
      <c r="CD5" s="4"/>
      <c r="CE5" s="24" t="e">
        <f ca="1">MATCH(CD5,$B$26:INDIRECT(ADDRESS(COUNTA($B:$B)+6,2,1,1,"גיליון2")))</f>
        <v>#N/A</v>
      </c>
      <c r="CF5" s="4"/>
      <c r="CG5" s="24" t="e">
        <f ca="1">MATCH(CF5,$B$26:INDIRECT(ADDRESS(COUNTA($B:$B)+6,2,1,1,"גיליון2")))</f>
        <v>#N/A</v>
      </c>
      <c r="CH5" s="4"/>
      <c r="CI5" s="24" t="e">
        <f ca="1">MATCH(CH5,$B$26:INDIRECT(ADDRESS(COUNTA($B:$B)+6,2,1,1,"גיליון2")))</f>
        <v>#N/A</v>
      </c>
      <c r="CJ5" s="4"/>
      <c r="CK5" s="24" t="e">
        <f ca="1">MATCH(CJ5,$B$26:INDIRECT(ADDRESS(COUNTA($B:$B)+6,2,1,1,"גיליון2")))</f>
        <v>#N/A</v>
      </c>
      <c r="CL5" s="4"/>
      <c r="CM5" s="32" t="e">
        <f ca="1">MATCH(CL5,$B$26:INDIRECT(ADDRESS(COUNTA($B:$B)+6,2,1,1,"גיליון2")))</f>
        <v>#N/A</v>
      </c>
      <c r="CN5" s="4"/>
      <c r="CO5" s="24" t="e">
        <f ca="1">MATCH(CN5,$B$26:INDIRECT(ADDRESS(COUNTA($B:$B)+6,2,1,1,"גיליון2")))</f>
        <v>#N/A</v>
      </c>
      <c r="CP5" s="4"/>
      <c r="CQ5" s="24" t="e">
        <f ca="1">MATCH(CP5,$B$26:INDIRECT(ADDRESS(COUNTA($B:$B)+6,2,1,1,"גיליון2")))</f>
        <v>#N/A</v>
      </c>
      <c r="CR5" s="4"/>
      <c r="CS5" s="24" t="e">
        <f ca="1">MATCH(CR5,$B$26:INDIRECT(ADDRESS(COUNTA($B:$B)+6,2,1,1,"גיליון2")))</f>
        <v>#N/A</v>
      </c>
      <c r="CT5" s="4"/>
      <c r="CU5" s="24" t="e">
        <f ca="1">MATCH(CT5,$B$26:INDIRECT(ADDRESS(COUNTA($B:$B)+6,2,1,1,"גיליון2")))</f>
        <v>#N/A</v>
      </c>
      <c r="CV5" s="4"/>
      <c r="CW5" s="32" t="e">
        <f ca="1">MATCH(CV5,$B$26:INDIRECT(ADDRESS(COUNTA($B:$B)+6,2,1,1,"גיליון2")))</f>
        <v>#N/A</v>
      </c>
      <c r="CX5" s="4"/>
      <c r="CY5" s="24" t="e">
        <f ca="1">MATCH(CX5,$B$26:INDIRECT(ADDRESS(COUNTA($B:$B)+6,2,1,1,"גיליון2")))</f>
        <v>#N/A</v>
      </c>
      <c r="CZ5" s="4"/>
      <c r="DA5" s="24" t="e">
        <f ca="1">MATCH(CZ5,$B$26:INDIRECT(ADDRESS(COUNTA($B:$B)+6,2,1,1,"גיליון2")))</f>
        <v>#N/A</v>
      </c>
      <c r="DB5" s="4"/>
      <c r="DC5" s="24" t="e">
        <f ca="1">MATCH(DB5,$B$26:INDIRECT(ADDRESS(COUNTA($B:$B)+6,2,1,1,"גיליון2")))</f>
        <v>#N/A</v>
      </c>
      <c r="DD5" s="4"/>
      <c r="DE5" s="24" t="e">
        <f ca="1">MATCH(DD5,$B$26:INDIRECT(ADDRESS(COUNTA($B:$B)+6,2,1,1,"גיליון2")))</f>
        <v>#N/A</v>
      </c>
      <c r="DF5" s="4"/>
      <c r="DG5" s="32" t="e">
        <f ca="1">MATCH(DF5,$B$26:INDIRECT(ADDRESS(COUNTA($B:$B)+6,2,1,1,"גיליון2")))</f>
        <v>#N/A</v>
      </c>
    </row>
    <row r="6" spans="1:111" x14ac:dyDescent="0.3">
      <c r="A6" s="2"/>
      <c r="B6" s="4"/>
      <c r="C6" s="24" t="e">
        <f ca="1">MATCH(B6,$B$26:INDIRECT(ADDRESS(COUNTA($B:$B)+6,2,1,1,"גיליון2")))</f>
        <v>#N/A</v>
      </c>
      <c r="D6" s="4"/>
      <c r="E6" s="24" t="e">
        <f ca="1">MATCH(D6,$B$26:INDIRECT(ADDRESS(COUNTA($B:$B)+6,2,1,1,"גיליון2")))</f>
        <v>#N/A</v>
      </c>
      <c r="F6" s="4"/>
      <c r="G6" s="24" t="e">
        <f ca="1">MATCH(F6,$B$26:INDIRECT(ADDRESS(COUNTA($B:$B)+6,2,1,1,"גיליון2")))</f>
        <v>#N/A</v>
      </c>
      <c r="H6" s="4"/>
      <c r="I6" s="24" t="e">
        <f ca="1">MATCH(H6,$B$26:INDIRECT(ADDRESS(COUNTA($B:$B)+6,2,1,1,"גיליון2")))</f>
        <v>#N/A</v>
      </c>
      <c r="J6" s="4"/>
      <c r="K6" s="24" t="e">
        <f ca="1">MATCH(J6,$B$26:INDIRECT(ADDRESS(COUNTA($B:$B)+6,2,1,1,"גיליון2")))</f>
        <v>#N/A</v>
      </c>
      <c r="L6" s="4"/>
      <c r="M6" s="24" t="e">
        <f ca="1">MATCH(L6,$B$26:INDIRECT(ADDRESS(COUNTA($B:$B)+6,2,1,1,"גיליון2")))</f>
        <v>#N/A</v>
      </c>
      <c r="N6" s="4"/>
      <c r="O6" s="24" t="e">
        <f ca="1">MATCH(N6,$B$26:INDIRECT(ADDRESS(COUNTA($B:$B)+6,2,1,1,"גיליון2")))</f>
        <v>#N/A</v>
      </c>
      <c r="P6" s="4"/>
      <c r="Q6" s="24" t="e">
        <f ca="1">MATCH(P6,$B$26:INDIRECT(ADDRESS(COUNTA($B:$B)+6,2,1,1,"גיליון2")))</f>
        <v>#N/A</v>
      </c>
      <c r="R6" s="4"/>
      <c r="S6" s="24" t="e">
        <f ca="1">MATCH(R6,$B$26:INDIRECT(ADDRESS(COUNTA($B:$B)+6,2,1,1,"גיליון2")))</f>
        <v>#N/A</v>
      </c>
      <c r="T6" s="4"/>
      <c r="U6" s="32" t="e">
        <f ca="1">MATCH(T6,$B$26:INDIRECT(ADDRESS(COUNTA($B:$B)+6,2,1,1,"גיליון2")))</f>
        <v>#N/A</v>
      </c>
      <c r="V6" s="4"/>
      <c r="W6" s="24" t="e">
        <f ca="1">MATCH(V6,$B$26:INDIRECT(ADDRESS(COUNTA($B:$B)+6,2,1,1,"גיליון2")))</f>
        <v>#N/A</v>
      </c>
      <c r="X6" s="4"/>
      <c r="Y6" s="24" t="e">
        <f ca="1">MATCH(X6,$B$26:INDIRECT(ADDRESS(COUNTA($B:$B)+6,2,1,1,"גיליון2")))</f>
        <v>#N/A</v>
      </c>
      <c r="Z6" s="4"/>
      <c r="AA6" s="24" t="e">
        <f ca="1">MATCH(Z6,$B$26:INDIRECT(ADDRESS(COUNTA($B:$B)+6,2,1,1,"גיליון2")))</f>
        <v>#N/A</v>
      </c>
      <c r="AB6" s="4"/>
      <c r="AC6" s="24" t="e">
        <f ca="1">MATCH(AB6,$B$26:INDIRECT(ADDRESS(COUNTA($B:$B)+6,2,1,1,"גיליון2")))</f>
        <v>#N/A</v>
      </c>
      <c r="AD6" s="4"/>
      <c r="AE6" s="24" t="e">
        <f ca="1">MATCH(AD6,$B$26:INDIRECT(ADDRESS(COUNTA($B:$B)+6,2,1,1,"גיליון2")))</f>
        <v>#N/A</v>
      </c>
      <c r="AF6" s="4"/>
      <c r="AG6" s="24" t="e">
        <f ca="1">MATCH(AF6,$B$26:INDIRECT(ADDRESS(COUNTA($B:$B)+6,2,1,1,"גיליון2")))</f>
        <v>#N/A</v>
      </c>
      <c r="AH6" s="4"/>
      <c r="AI6" s="24" t="e">
        <f ca="1">MATCH(AH6,$B$26:INDIRECT(ADDRESS(COUNTA($B:$B)+6,2,1,1,"גיליון2")))</f>
        <v>#N/A</v>
      </c>
      <c r="AJ6" s="4"/>
      <c r="AK6" s="24" t="e">
        <f ca="1">MATCH(AJ6,$B$26:INDIRECT(ADDRESS(COUNTA($B:$B)+6,2,1,1,"גיליון2")))</f>
        <v>#N/A</v>
      </c>
      <c r="AL6" s="4"/>
      <c r="AM6" s="24" t="e">
        <f ca="1">MATCH(AL6,$B$26:INDIRECT(ADDRESS(COUNTA($B:$B)+6,2,1,1,"גיליון2")))</f>
        <v>#N/A</v>
      </c>
      <c r="AN6" s="4"/>
      <c r="AO6" s="32" t="e">
        <f ca="1">MATCH(AN6,$B$26:INDIRECT(ADDRESS(COUNTA($B:$B)+6,2,1,1,"גיליון2")))</f>
        <v>#N/A</v>
      </c>
      <c r="AP6" s="4"/>
      <c r="AQ6" s="24" t="e">
        <f ca="1">MATCH(AP6,$B$26:INDIRECT(ADDRESS(COUNTA($B:$B)+6,2,1,1,"גיליון2")))</f>
        <v>#N/A</v>
      </c>
      <c r="AR6" s="4"/>
      <c r="AS6" s="24" t="e">
        <f ca="1">MATCH(AR6,$B$26:INDIRECT(ADDRESS(COUNTA($B:$B)+6,2,1,1,"גיליון2")))</f>
        <v>#N/A</v>
      </c>
      <c r="AT6" s="4"/>
      <c r="AU6" s="24" t="e">
        <f ca="1">MATCH(AT6,$B$26:INDIRECT(ADDRESS(COUNTA($B:$B)+6,2,1,1,"גיליון2")))</f>
        <v>#N/A</v>
      </c>
      <c r="AV6" s="4"/>
      <c r="AW6" s="24" t="e">
        <f ca="1">MATCH(AV6,$B$26:INDIRECT(ADDRESS(COUNTA($B:$B)+6,2,1,1,"גיליון2")))</f>
        <v>#N/A</v>
      </c>
      <c r="AX6" s="4"/>
      <c r="AY6" s="24" t="e">
        <f ca="1">MATCH(AX6,$B$26:INDIRECT(ADDRESS(COUNTA($B:$B)+6,2,1,1,"גיליון2")))</f>
        <v>#N/A</v>
      </c>
      <c r="AZ6" s="4"/>
      <c r="BA6" s="24" t="e">
        <f ca="1">MATCH(AZ6,$B$26:INDIRECT(ADDRESS(COUNTA($B:$B)+6,2,1,1,"גיליון2")))</f>
        <v>#N/A</v>
      </c>
      <c r="BB6" s="4"/>
      <c r="BC6" s="24" t="e">
        <f ca="1">MATCH(BB6,$B$26:INDIRECT(ADDRESS(COUNTA($B:$B)+6,2,1,1,"גיליון2")))</f>
        <v>#N/A</v>
      </c>
      <c r="BD6" s="4"/>
      <c r="BE6" s="24" t="e">
        <f ca="1">MATCH(BD6,$B$26:INDIRECT(ADDRESS(COUNTA($B:$B)+6,2,1,1,"גיליון2")))</f>
        <v>#N/A</v>
      </c>
      <c r="BF6" s="4"/>
      <c r="BG6" s="24" t="e">
        <f ca="1">MATCH(BF6,$B$26:INDIRECT(ADDRESS(COUNTA($B:$B)+6,2,1,1,"גיליון2")))</f>
        <v>#N/A</v>
      </c>
      <c r="BH6" s="4"/>
      <c r="BI6" s="32" t="e">
        <f ca="1">MATCH(BH6,$B$26:INDIRECT(ADDRESS(COUNTA($B:$B)+6,2,1,1,"גיליון2")))</f>
        <v>#N/A</v>
      </c>
      <c r="BJ6" s="4"/>
      <c r="BK6" s="24" t="e">
        <f ca="1">MATCH(BJ6,$B$26:INDIRECT(ADDRESS(COUNTA($B:$B)+6,2,1,1,"גיליון2")))</f>
        <v>#N/A</v>
      </c>
      <c r="BL6" s="4"/>
      <c r="BM6" s="24" t="e">
        <f ca="1">MATCH(BL6,$B$26:INDIRECT(ADDRESS(COUNTA($B:$B)+6,2,1,1,"גיליון2")))</f>
        <v>#N/A</v>
      </c>
      <c r="BN6" s="4"/>
      <c r="BO6" s="24" t="e">
        <f ca="1">MATCH(BN6,$B$26:INDIRECT(ADDRESS(COUNTA($B:$B)+6,2,1,1,"גיליון2")))</f>
        <v>#N/A</v>
      </c>
      <c r="BP6" s="4"/>
      <c r="BQ6" s="24" t="e">
        <f ca="1">MATCH(BP6,$B$26:INDIRECT(ADDRESS(COUNTA($B:$B)+6,2,1,1,"גיליון2")))</f>
        <v>#N/A</v>
      </c>
      <c r="BR6" s="4"/>
      <c r="BS6" s="24" t="e">
        <f ca="1">MATCH(BR6,$B$26:INDIRECT(ADDRESS(COUNTA($B:$B)+6,2,1,1,"גיליון2")))</f>
        <v>#N/A</v>
      </c>
      <c r="BT6" s="4"/>
      <c r="BU6" s="24" t="e">
        <f ca="1">MATCH(BT6,$B$26:INDIRECT(ADDRESS(COUNTA($B:$B)+6,2,1,1,"גיליון2")))</f>
        <v>#N/A</v>
      </c>
      <c r="BV6" s="4"/>
      <c r="BW6" s="24" t="e">
        <f ca="1">MATCH(BV6,$B$26:INDIRECT(ADDRESS(COUNTA($B:$B)+6,2,1,1,"גיליון2")))</f>
        <v>#N/A</v>
      </c>
      <c r="BX6" s="4"/>
      <c r="BY6" s="24" t="e">
        <f ca="1">MATCH(BX6,$B$26:INDIRECT(ADDRESS(COUNTA($B:$B)+6,2,1,1,"גיליון2")))</f>
        <v>#N/A</v>
      </c>
      <c r="BZ6" s="4"/>
      <c r="CA6" s="24" t="e">
        <f ca="1">MATCH(BZ6,$B$26:INDIRECT(ADDRESS(COUNTA($B:$B)+6,2,1,1,"גיליון2")))</f>
        <v>#N/A</v>
      </c>
      <c r="CB6" s="4"/>
      <c r="CC6" s="32" t="e">
        <f ca="1">MATCH(CB6,$B$26:INDIRECT(ADDRESS(COUNTA($B:$B)+6,2,1,1,"גיליון2")))</f>
        <v>#N/A</v>
      </c>
      <c r="CD6" s="4"/>
      <c r="CE6" s="24" t="e">
        <f ca="1">MATCH(CD6,$B$26:INDIRECT(ADDRESS(COUNTA($B:$B)+6,2,1,1,"גיליון2")))</f>
        <v>#N/A</v>
      </c>
      <c r="CF6" s="4"/>
      <c r="CG6" s="24" t="e">
        <f ca="1">MATCH(CF6,$B$26:INDIRECT(ADDRESS(COUNTA($B:$B)+6,2,1,1,"גיליון2")))</f>
        <v>#N/A</v>
      </c>
      <c r="CH6" s="4"/>
      <c r="CI6" s="24" t="e">
        <f ca="1">MATCH(CH6,$B$26:INDIRECT(ADDRESS(COUNTA($B:$B)+6,2,1,1,"גיליון2")))</f>
        <v>#N/A</v>
      </c>
      <c r="CJ6" s="4"/>
      <c r="CK6" s="24" t="e">
        <f ca="1">MATCH(CJ6,$B$26:INDIRECT(ADDRESS(COUNTA($B:$B)+6,2,1,1,"גיליון2")))</f>
        <v>#N/A</v>
      </c>
      <c r="CL6" s="4"/>
      <c r="CM6" s="32" t="e">
        <f ca="1">MATCH(CL6,$B$26:INDIRECT(ADDRESS(COUNTA($B:$B)+6,2,1,1,"גיליון2")))</f>
        <v>#N/A</v>
      </c>
      <c r="CN6" s="4"/>
      <c r="CO6" s="24" t="e">
        <f ca="1">MATCH(CN6,$B$26:INDIRECT(ADDRESS(COUNTA($B:$B)+6,2,1,1,"גיליון2")))</f>
        <v>#N/A</v>
      </c>
      <c r="CP6" s="4"/>
      <c r="CQ6" s="24" t="e">
        <f ca="1">MATCH(CP6,$B$26:INDIRECT(ADDRESS(COUNTA($B:$B)+6,2,1,1,"גיליון2")))</f>
        <v>#N/A</v>
      </c>
      <c r="CR6" s="4"/>
      <c r="CS6" s="24" t="e">
        <f ca="1">MATCH(CR6,$B$26:INDIRECT(ADDRESS(COUNTA($B:$B)+6,2,1,1,"גיליון2")))</f>
        <v>#N/A</v>
      </c>
      <c r="CT6" s="4"/>
      <c r="CU6" s="24" t="e">
        <f ca="1">MATCH(CT6,$B$26:INDIRECT(ADDRESS(COUNTA($B:$B)+6,2,1,1,"גיליון2")))</f>
        <v>#N/A</v>
      </c>
      <c r="CV6" s="4"/>
      <c r="CW6" s="32" t="e">
        <f ca="1">MATCH(CV6,$B$26:INDIRECT(ADDRESS(COUNTA($B:$B)+6,2,1,1,"גיליון2")))</f>
        <v>#N/A</v>
      </c>
      <c r="CX6" s="4"/>
      <c r="CY6" s="24" t="e">
        <f ca="1">MATCH(CX6,$B$26:INDIRECT(ADDRESS(COUNTA($B:$B)+6,2,1,1,"גיליון2")))</f>
        <v>#N/A</v>
      </c>
      <c r="CZ6" s="4"/>
      <c r="DA6" s="24" t="e">
        <f ca="1">MATCH(CZ6,$B$26:INDIRECT(ADDRESS(COUNTA($B:$B)+6,2,1,1,"גיליון2")))</f>
        <v>#N/A</v>
      </c>
      <c r="DB6" s="4"/>
      <c r="DC6" s="24" t="e">
        <f ca="1">MATCH(DB6,$B$26:INDIRECT(ADDRESS(COUNTA($B:$B)+6,2,1,1,"גיליון2")))</f>
        <v>#N/A</v>
      </c>
      <c r="DD6" s="4"/>
      <c r="DE6" s="24" t="e">
        <f ca="1">MATCH(DD6,$B$26:INDIRECT(ADDRESS(COUNTA($B:$B)+6,2,1,1,"גיליון2")))</f>
        <v>#N/A</v>
      </c>
      <c r="DF6" s="4"/>
      <c r="DG6" s="32" t="e">
        <f ca="1">MATCH(DF6,$B$26:INDIRECT(ADDRESS(COUNTA($B:$B)+6,2,1,1,"גיליון2")))</f>
        <v>#N/A</v>
      </c>
    </row>
    <row r="7" spans="1:111" x14ac:dyDescent="0.3">
      <c r="A7" s="3"/>
      <c r="B7" s="4"/>
      <c r="C7" s="24" t="e">
        <f ca="1">MATCH(B7,$B$26:INDIRECT(ADDRESS(COUNTA($B:$B)+6,2,1,1,"גיליון2")))</f>
        <v>#N/A</v>
      </c>
      <c r="D7" s="4"/>
      <c r="E7" s="24" t="e">
        <f ca="1">MATCH(D7,$B$26:INDIRECT(ADDRESS(COUNTA($B:$B)+6,2,1,1,"גיליון2")))</f>
        <v>#N/A</v>
      </c>
      <c r="F7" s="4"/>
      <c r="G7" s="24" t="e">
        <f ca="1">MATCH(F7,$B$26:INDIRECT(ADDRESS(COUNTA($B:$B)+6,2,1,1,"גיליון2")))</f>
        <v>#N/A</v>
      </c>
      <c r="H7" s="4"/>
      <c r="I7" s="24" t="e">
        <f ca="1">MATCH(H7,$B$26:INDIRECT(ADDRESS(COUNTA($B:$B)+6,2,1,1,"גיליון2")))</f>
        <v>#N/A</v>
      </c>
      <c r="J7" s="4"/>
      <c r="K7" s="24" t="e">
        <f ca="1">MATCH(J7,$B$26:INDIRECT(ADDRESS(COUNTA($B:$B)+6,2,1,1,"גיליון2")))</f>
        <v>#N/A</v>
      </c>
      <c r="L7" s="4"/>
      <c r="M7" s="24" t="e">
        <f ca="1">MATCH(L7,$B$26:INDIRECT(ADDRESS(COUNTA($B:$B)+6,2,1,1,"גיליון2")))</f>
        <v>#N/A</v>
      </c>
      <c r="N7" s="4"/>
      <c r="O7" s="24" t="e">
        <f ca="1">MATCH(N7,$B$26:INDIRECT(ADDRESS(COUNTA($B:$B)+6,2,1,1,"גיליון2")))</f>
        <v>#N/A</v>
      </c>
      <c r="P7" s="4"/>
      <c r="Q7" s="24" t="e">
        <f ca="1">MATCH(P7,$B$26:INDIRECT(ADDRESS(COUNTA($B:$B)+6,2,1,1,"גיליון2")))</f>
        <v>#N/A</v>
      </c>
      <c r="R7" s="4"/>
      <c r="S7" s="24" t="e">
        <f ca="1">MATCH(R7,$B$26:INDIRECT(ADDRESS(COUNTA($B:$B)+6,2,1,1,"גיליון2")))</f>
        <v>#N/A</v>
      </c>
      <c r="T7" s="4"/>
      <c r="U7" s="32" t="e">
        <f ca="1">MATCH(T7,$B$26:INDIRECT(ADDRESS(COUNTA($B:$B)+6,2,1,1,"גיליון2")))</f>
        <v>#N/A</v>
      </c>
      <c r="V7" s="4"/>
      <c r="W7" s="24" t="e">
        <f ca="1">MATCH(V7,$B$26:INDIRECT(ADDRESS(COUNTA($B:$B)+6,2,1,1,"גיליון2")))</f>
        <v>#N/A</v>
      </c>
      <c r="X7" s="4"/>
      <c r="Y7" s="24" t="e">
        <f ca="1">MATCH(X7,$B$26:INDIRECT(ADDRESS(COUNTA($B:$B)+6,2,1,1,"גיליון2")))</f>
        <v>#N/A</v>
      </c>
      <c r="Z7" s="4"/>
      <c r="AA7" s="24" t="e">
        <f ca="1">MATCH(Z7,$B$26:INDIRECT(ADDRESS(COUNTA($B:$B)+6,2,1,1,"גיליון2")))</f>
        <v>#N/A</v>
      </c>
      <c r="AB7" s="4"/>
      <c r="AC7" s="24" t="e">
        <f ca="1">MATCH(AB7,$B$26:INDIRECT(ADDRESS(COUNTA($B:$B)+6,2,1,1,"גיליון2")))</f>
        <v>#N/A</v>
      </c>
      <c r="AD7" s="4"/>
      <c r="AE7" s="24" t="e">
        <f ca="1">MATCH(AD7,$B$26:INDIRECT(ADDRESS(COUNTA($B:$B)+6,2,1,1,"גיליון2")))</f>
        <v>#N/A</v>
      </c>
      <c r="AF7" s="4"/>
      <c r="AG7" s="24" t="e">
        <f ca="1">MATCH(AF7,$B$26:INDIRECT(ADDRESS(COUNTA($B:$B)+6,2,1,1,"גיליון2")))</f>
        <v>#N/A</v>
      </c>
      <c r="AH7" s="4"/>
      <c r="AI7" s="24" t="e">
        <f ca="1">MATCH(AH7,$B$26:INDIRECT(ADDRESS(COUNTA($B:$B)+6,2,1,1,"גיליון2")))</f>
        <v>#N/A</v>
      </c>
      <c r="AJ7" s="4"/>
      <c r="AK7" s="24" t="e">
        <f ca="1">MATCH(AJ7,$B$26:INDIRECT(ADDRESS(COUNTA($B:$B)+6,2,1,1,"גיליון2")))</f>
        <v>#N/A</v>
      </c>
      <c r="AL7" s="4"/>
      <c r="AM7" s="24" t="e">
        <f ca="1">MATCH(AL7,$B$26:INDIRECT(ADDRESS(COUNTA($B:$B)+6,2,1,1,"גיליון2")))</f>
        <v>#N/A</v>
      </c>
      <c r="AN7" s="4"/>
      <c r="AO7" s="32" t="e">
        <f ca="1">MATCH(AN7,$B$26:INDIRECT(ADDRESS(COUNTA($B:$B)+6,2,1,1,"גיליון2")))</f>
        <v>#N/A</v>
      </c>
      <c r="AP7" s="4"/>
      <c r="AQ7" s="24" t="e">
        <f ca="1">MATCH(AP7,$B$26:INDIRECT(ADDRESS(COUNTA($B:$B)+6,2,1,1,"גיליון2")))</f>
        <v>#N/A</v>
      </c>
      <c r="AR7" s="4"/>
      <c r="AS7" s="24" t="e">
        <f ca="1">MATCH(AR7,$B$26:INDIRECT(ADDRESS(COUNTA($B:$B)+6,2,1,1,"גיליון2")))</f>
        <v>#N/A</v>
      </c>
      <c r="AT7" s="4"/>
      <c r="AU7" s="24" t="e">
        <f ca="1">MATCH(AT7,$B$26:INDIRECT(ADDRESS(COUNTA($B:$B)+6,2,1,1,"גיליון2")))</f>
        <v>#N/A</v>
      </c>
      <c r="AV7" s="4"/>
      <c r="AW7" s="24" t="e">
        <f ca="1">MATCH(AV7,$B$26:INDIRECT(ADDRESS(COUNTA($B:$B)+6,2,1,1,"גיליון2")))</f>
        <v>#N/A</v>
      </c>
      <c r="AX7" s="4"/>
      <c r="AY7" s="24" t="e">
        <f ca="1">MATCH(AX7,$B$26:INDIRECT(ADDRESS(COUNTA($B:$B)+6,2,1,1,"גיליון2")))</f>
        <v>#N/A</v>
      </c>
      <c r="AZ7" s="4"/>
      <c r="BA7" s="24" t="e">
        <f ca="1">MATCH(AZ7,$B$26:INDIRECT(ADDRESS(COUNTA($B:$B)+6,2,1,1,"גיליון2")))</f>
        <v>#N/A</v>
      </c>
      <c r="BB7" s="4"/>
      <c r="BC7" s="24" t="e">
        <f ca="1">MATCH(BB7,$B$26:INDIRECT(ADDRESS(COUNTA($B:$B)+6,2,1,1,"גיליון2")))</f>
        <v>#N/A</v>
      </c>
      <c r="BD7" s="4"/>
      <c r="BE7" s="24" t="e">
        <f ca="1">MATCH(BD7,$B$26:INDIRECT(ADDRESS(COUNTA($B:$B)+6,2,1,1,"גיליון2")))</f>
        <v>#N/A</v>
      </c>
      <c r="BF7" s="4"/>
      <c r="BG7" s="24" t="e">
        <f ca="1">MATCH(BF7,$B$26:INDIRECT(ADDRESS(COUNTA($B:$B)+6,2,1,1,"גיליון2")))</f>
        <v>#N/A</v>
      </c>
      <c r="BH7" s="4"/>
      <c r="BI7" s="32" t="e">
        <f ca="1">MATCH(BH7,$B$26:INDIRECT(ADDRESS(COUNTA($B:$B)+6,2,1,1,"גיליון2")))</f>
        <v>#N/A</v>
      </c>
      <c r="BJ7" s="4"/>
      <c r="BK7" s="24" t="e">
        <f ca="1">MATCH(BJ7,$B$26:INDIRECT(ADDRESS(COUNTA($B:$B)+6,2,1,1,"גיליון2")))</f>
        <v>#N/A</v>
      </c>
      <c r="BL7" s="4"/>
      <c r="BM7" s="24" t="e">
        <f ca="1">MATCH(BL7,$B$26:INDIRECT(ADDRESS(COUNTA($B:$B)+6,2,1,1,"גיליון2")))</f>
        <v>#N/A</v>
      </c>
      <c r="BN7" s="4"/>
      <c r="BO7" s="24" t="e">
        <f ca="1">MATCH(BN7,$B$26:INDIRECT(ADDRESS(COUNTA($B:$B)+6,2,1,1,"גיליון2")))</f>
        <v>#N/A</v>
      </c>
      <c r="BP7" s="4"/>
      <c r="BQ7" s="24" t="e">
        <f ca="1">MATCH(BP7,$B$26:INDIRECT(ADDRESS(COUNTA($B:$B)+6,2,1,1,"גיליון2")))</f>
        <v>#N/A</v>
      </c>
      <c r="BR7" s="4"/>
      <c r="BS7" s="24" t="e">
        <f ca="1">MATCH(BR7,$B$26:INDIRECT(ADDRESS(COUNTA($B:$B)+6,2,1,1,"גיליון2")))</f>
        <v>#N/A</v>
      </c>
      <c r="BT7" s="4"/>
      <c r="BU7" s="24" t="e">
        <f ca="1">MATCH(BT7,$B$26:INDIRECT(ADDRESS(COUNTA($B:$B)+6,2,1,1,"גיליון2")))</f>
        <v>#N/A</v>
      </c>
      <c r="BV7" s="4"/>
      <c r="BW7" s="24" t="e">
        <f ca="1">MATCH(BV7,$B$26:INDIRECT(ADDRESS(COUNTA($B:$B)+6,2,1,1,"גיליון2")))</f>
        <v>#N/A</v>
      </c>
      <c r="BX7" s="4"/>
      <c r="BY7" s="24" t="e">
        <f ca="1">MATCH(BX7,$B$26:INDIRECT(ADDRESS(COUNTA($B:$B)+6,2,1,1,"גיליון2")))</f>
        <v>#N/A</v>
      </c>
      <c r="BZ7" s="4"/>
      <c r="CA7" s="24" t="e">
        <f ca="1">MATCH(BZ7,$B$26:INDIRECT(ADDRESS(COUNTA($B:$B)+6,2,1,1,"גיליון2")))</f>
        <v>#N/A</v>
      </c>
      <c r="CB7" s="4"/>
      <c r="CC7" s="32" t="e">
        <f ca="1">MATCH(CB7,$B$26:INDIRECT(ADDRESS(COUNTA($B:$B)+6,2,1,1,"גיליון2")))</f>
        <v>#N/A</v>
      </c>
      <c r="CD7" s="4"/>
      <c r="CE7" s="24" t="e">
        <f ca="1">MATCH(CD7,$B$26:INDIRECT(ADDRESS(COUNTA($B:$B)+6,2,1,1,"גיליון2")))</f>
        <v>#N/A</v>
      </c>
      <c r="CF7" s="4"/>
      <c r="CG7" s="24" t="e">
        <f ca="1">MATCH(CF7,$B$26:INDIRECT(ADDRESS(COUNTA($B:$B)+6,2,1,1,"גיליון2")))</f>
        <v>#N/A</v>
      </c>
      <c r="CH7" s="4"/>
      <c r="CI7" s="24" t="e">
        <f ca="1">MATCH(CH7,$B$26:INDIRECT(ADDRESS(COUNTA($B:$B)+6,2,1,1,"גיליון2")))</f>
        <v>#N/A</v>
      </c>
      <c r="CJ7" s="4"/>
      <c r="CK7" s="24" t="e">
        <f ca="1">MATCH(CJ7,$B$26:INDIRECT(ADDRESS(COUNTA($B:$B)+6,2,1,1,"גיליון2")))</f>
        <v>#N/A</v>
      </c>
      <c r="CL7" s="4"/>
      <c r="CM7" s="32" t="e">
        <f ca="1">MATCH(CL7,$B$26:INDIRECT(ADDRESS(COUNTA($B:$B)+6,2,1,1,"גיליון2")))</f>
        <v>#N/A</v>
      </c>
      <c r="CN7" s="4"/>
      <c r="CO7" s="24" t="e">
        <f ca="1">MATCH(CN7,$B$26:INDIRECT(ADDRESS(COUNTA($B:$B)+6,2,1,1,"גיליון2")))</f>
        <v>#N/A</v>
      </c>
      <c r="CP7" s="4"/>
      <c r="CQ7" s="24" t="e">
        <f ca="1">MATCH(CP7,$B$26:INDIRECT(ADDRESS(COUNTA($B:$B)+6,2,1,1,"גיליון2")))</f>
        <v>#N/A</v>
      </c>
      <c r="CR7" s="4"/>
      <c r="CS7" s="24" t="e">
        <f ca="1">MATCH(CR7,$B$26:INDIRECT(ADDRESS(COUNTA($B:$B)+6,2,1,1,"גיליון2")))</f>
        <v>#N/A</v>
      </c>
      <c r="CT7" s="4"/>
      <c r="CU7" s="24" t="e">
        <f ca="1">MATCH(CT7,$B$26:INDIRECT(ADDRESS(COUNTA($B:$B)+6,2,1,1,"גיליון2")))</f>
        <v>#N/A</v>
      </c>
      <c r="CV7" s="4"/>
      <c r="CW7" s="32" t="e">
        <f ca="1">MATCH(CV7,$B$26:INDIRECT(ADDRESS(COUNTA($B:$B)+6,2,1,1,"גיליון2")))</f>
        <v>#N/A</v>
      </c>
      <c r="CX7" s="4"/>
      <c r="CY7" s="24" t="e">
        <f ca="1">MATCH(CX7,$B$26:INDIRECT(ADDRESS(COUNTA($B:$B)+6,2,1,1,"גיליון2")))</f>
        <v>#N/A</v>
      </c>
      <c r="CZ7" s="4"/>
      <c r="DA7" s="24" t="e">
        <f ca="1">MATCH(CZ7,$B$26:INDIRECT(ADDRESS(COUNTA($B:$B)+6,2,1,1,"גיליון2")))</f>
        <v>#N/A</v>
      </c>
      <c r="DB7" s="4"/>
      <c r="DC7" s="24" t="e">
        <f ca="1">MATCH(DB7,$B$26:INDIRECT(ADDRESS(COUNTA($B:$B)+6,2,1,1,"גיליון2")))</f>
        <v>#N/A</v>
      </c>
      <c r="DD7" s="4"/>
      <c r="DE7" s="24" t="e">
        <f ca="1">MATCH(DD7,$B$26:INDIRECT(ADDRESS(COUNTA($B:$B)+6,2,1,1,"גיליון2")))</f>
        <v>#N/A</v>
      </c>
      <c r="DF7" s="4"/>
      <c r="DG7" s="32" t="e">
        <f ca="1">MATCH(DF7,$B$26:INDIRECT(ADDRESS(COUNTA($B:$B)+6,2,1,1,"גיליון2")))</f>
        <v>#N/A</v>
      </c>
    </row>
    <row r="8" spans="1:111" hidden="1" x14ac:dyDescent="0.3">
      <c r="A8" s="2"/>
      <c r="B8" s="4"/>
      <c r="C8" t="e">
        <f ca="1">CONCATENATE(LARGE(C$3:C$7,1)," ",LARGE(C$3:C$7,2)," ",LARGE(C$3:C$7,3)," ",LARGE(C$3:C$7,4)," ",LARGE(C$3:C$7,5))</f>
        <v>#N/A</v>
      </c>
      <c r="D8" s="4"/>
      <c r="E8" t="e">
        <f ca="1">CONCATENATE(LARGE(E$3:E$7,1)," ",LARGE(E$3:E$7,2)," ",LARGE(E$3:E$7,3)," ",LARGE(E$3:E$7,4)," ",LARGE(E$3:E$7,5))</f>
        <v>#N/A</v>
      </c>
      <c r="F8" s="4"/>
      <c r="G8" t="e">
        <f ca="1">CONCATENATE(LARGE(G$3:G$7,1)," ",LARGE(G$3:G$7,2)," ",LARGE(G$3:G$7,3)," ",LARGE(G$3:G$7,4)," ",LARGE(G$3:G$7,5))</f>
        <v>#N/A</v>
      </c>
      <c r="H8" s="4"/>
      <c r="I8" t="e">
        <f ca="1">CONCATENATE(LARGE(I$3:I$7,1)," ",LARGE(I$3:I$7,2)," ",LARGE(I$3:I$7,3)," ",LARGE(I$3:I$7,4)," ",LARGE(I$3:I$7,5))</f>
        <v>#N/A</v>
      </c>
      <c r="J8" s="4"/>
      <c r="K8" t="e">
        <f ca="1">CONCATENATE(LARGE(K$3:K$7,1)," ",LARGE(K$3:K$7,2)," ",LARGE(K$3:K$7,3)," ",LARGE(K$3:K$7,4)," ",LARGE(K$3:K$7,5))</f>
        <v>#N/A</v>
      </c>
      <c r="L8" s="4"/>
      <c r="M8" t="e">
        <f ca="1">CONCATENATE(LARGE(M$3:M$7,1)," ",LARGE(M$3:M$7,2)," ",LARGE(M$3:M$7,3)," ",LARGE(M$3:M$7,4)," ",LARGE(M$3:M$7,5))</f>
        <v>#N/A</v>
      </c>
      <c r="N8" s="4"/>
      <c r="O8" t="e">
        <f ca="1">CONCATENATE(LARGE(O$3:O$7,1)," ",LARGE(O$3:O$7,2)," ",LARGE(O$3:O$7,3)," ",LARGE(O$3:O$7,4)," ",LARGE(O$3:O$7,5))</f>
        <v>#N/A</v>
      </c>
      <c r="P8" s="4"/>
      <c r="Q8" t="e">
        <f ca="1">CONCATENATE(LARGE(Q$3:Q$7,1)," ",LARGE(Q$3:Q$7,2)," ",LARGE(Q$3:Q$7,3)," ",LARGE(Q$3:Q$7,4)," ",LARGE(Q$3:Q$7,5))</f>
        <v>#N/A</v>
      </c>
      <c r="R8" s="4"/>
      <c r="S8" t="e">
        <f ca="1">CONCATENATE(LARGE(S$3:S$7,1)," ",LARGE(S$3:S$7,2)," ",LARGE(S$3:S$7,3)," ",LARGE(S$3:S$7,4)," ",LARGE(S$3:S$7,5))</f>
        <v>#N/A</v>
      </c>
      <c r="T8" s="4"/>
      <c r="U8" s="32" t="e">
        <f ca="1">CONCATENATE(LARGE(U$3:U$7,1)," ",LARGE(U$3:U$7,2)," ",LARGE(U$3:U$7,3)," ",LARGE(U$3:U$7,4)," ",LARGE(U$3:U$7,5))</f>
        <v>#N/A</v>
      </c>
      <c r="V8" s="4"/>
      <c r="W8" t="e">
        <f ca="1">CONCATENATE(LARGE(W$3:W$7,1)," ",LARGE(W$3:W$7,2)," ",LARGE(W$3:W$7,3)," ",LARGE(W$3:W$7,4)," ",LARGE(W$3:W$7,5))</f>
        <v>#N/A</v>
      </c>
      <c r="X8" s="4"/>
      <c r="Y8" t="e">
        <f ca="1">CONCATENATE(LARGE(Y$3:Y$7,1)," ",LARGE(Y$3:Y$7,2)," ",LARGE(Y$3:Y$7,3)," ",LARGE(Y$3:Y$7,4)," ",LARGE(Y$3:Y$7,5))</f>
        <v>#N/A</v>
      </c>
      <c r="Z8" s="4"/>
      <c r="AA8" t="e">
        <f ca="1">CONCATENATE(LARGE(AA$3:AA$7,1)," ",LARGE(AA$3:AA$7,2)," ",LARGE(AA$3:AA$7,3)," ",LARGE(AA$3:AA$7,4)," ",LARGE(AA$3:AA$7,5))</f>
        <v>#N/A</v>
      </c>
      <c r="AB8" s="4"/>
      <c r="AC8" t="e">
        <f ca="1">CONCATENATE(LARGE(AC$3:AC$7,1)," ",LARGE(AC$3:AC$7,2)," ",LARGE(AC$3:AC$7,3)," ",LARGE(AC$3:AC$7,4)," ",LARGE(AC$3:AC$7,5))</f>
        <v>#N/A</v>
      </c>
      <c r="AD8" s="4"/>
      <c r="AE8" t="e">
        <f ca="1">CONCATENATE(LARGE(AE$3:AE$7,1)," ",LARGE(AE$3:AE$7,2)," ",LARGE(AE$3:AE$7,3)," ",LARGE(AE$3:AE$7,4)," ",LARGE(AE$3:AE$7,5))</f>
        <v>#N/A</v>
      </c>
      <c r="AF8" s="4"/>
      <c r="AG8" t="e">
        <f ca="1">CONCATENATE(LARGE(AG$3:AG$7,1)," ",LARGE(AG$3:AG$7,2)," ",LARGE(AG$3:AG$7,3)," ",LARGE(AG$3:AG$7,4)," ",LARGE(AG$3:AG$7,5))</f>
        <v>#N/A</v>
      </c>
      <c r="AH8" s="4"/>
      <c r="AI8" t="e">
        <f ca="1">CONCATENATE(LARGE(AI$3:AI$7,1)," ",LARGE(AI$3:AI$7,2)," ",LARGE(AI$3:AI$7,3)," ",LARGE(AI$3:AI$7,4)," ",LARGE(AI$3:AI$7,5))</f>
        <v>#N/A</v>
      </c>
      <c r="AJ8" s="4"/>
      <c r="AK8" t="e">
        <f ca="1">CONCATENATE(LARGE(AK$3:AK$7,1)," ",LARGE(AK$3:AK$7,2)," ",LARGE(AK$3:AK$7,3)," ",LARGE(AK$3:AK$7,4)," ",LARGE(AK$3:AK$7,5))</f>
        <v>#N/A</v>
      </c>
      <c r="AL8" s="4"/>
      <c r="AM8" t="e">
        <f ca="1">CONCATENATE(LARGE(AM$3:AM$7,1)," ",LARGE(AM$3:AM$7,2)," ",LARGE(AM$3:AM$7,3)," ",LARGE(AM$3:AM$7,4)," ",LARGE(AM$3:AM$7,5))</f>
        <v>#N/A</v>
      </c>
      <c r="AN8" s="4"/>
      <c r="AO8" s="32" t="e">
        <f ca="1">CONCATENATE(LARGE(AO$3:AO$7,1)," ",LARGE(AO$3:AO$7,2)," ",LARGE(AO$3:AO$7,3)," ",LARGE(AO$3:AO$7,4)," ",LARGE(AO$3:AO$7,5))</f>
        <v>#N/A</v>
      </c>
      <c r="AP8" s="4"/>
      <c r="AQ8" t="e">
        <f ca="1">CONCATENATE(LARGE(AQ$3:AQ$7,1)," ",LARGE(AQ$3:AQ$7,2)," ",LARGE(AQ$3:AQ$7,3)," ",LARGE(AQ$3:AQ$7,4)," ",LARGE(AQ$3:AQ$7,5))</f>
        <v>#N/A</v>
      </c>
      <c r="AR8" s="4"/>
      <c r="AS8" t="e">
        <f ca="1">CONCATENATE(LARGE(AS$3:AS$7,1)," ",LARGE(AS$3:AS$7,2)," ",LARGE(AS$3:AS$7,3)," ",LARGE(AS$3:AS$7,4)," ",LARGE(AS$3:AS$7,5))</f>
        <v>#N/A</v>
      </c>
      <c r="AT8" s="4"/>
      <c r="AU8" t="e">
        <f ca="1">CONCATENATE(LARGE(AU$3:AU$7,1)," ",LARGE(AU$3:AU$7,2)," ",LARGE(AU$3:AU$7,3)," ",LARGE(AU$3:AU$7,4)," ",LARGE(AU$3:AU$7,5))</f>
        <v>#N/A</v>
      </c>
      <c r="AV8" s="4"/>
      <c r="AW8" t="e">
        <f ca="1">CONCATENATE(LARGE(AW$3:AW$7,1)," ",LARGE(AW$3:AW$7,2)," ",LARGE(AW$3:AW$7,3)," ",LARGE(AW$3:AW$7,4)," ",LARGE(AW$3:AW$7,5))</f>
        <v>#N/A</v>
      </c>
      <c r="AX8" s="4"/>
      <c r="AY8" t="e">
        <f ca="1">CONCATENATE(LARGE(AY$3:AY$7,1)," ",LARGE(AY$3:AY$7,2)," ",LARGE(AY$3:AY$7,3)," ",LARGE(AY$3:AY$7,4)," ",LARGE(AY$3:AY$7,5))</f>
        <v>#N/A</v>
      </c>
      <c r="AZ8" s="4"/>
      <c r="BA8" t="e">
        <f ca="1">CONCATENATE(LARGE(BA$3:BA$7,1)," ",LARGE(BA$3:BA$7,2)," ",LARGE(BA$3:BA$7,3)," ",LARGE(BA$3:BA$7,4)," ",LARGE(BA$3:BA$7,5))</f>
        <v>#N/A</v>
      </c>
      <c r="BB8" s="4"/>
      <c r="BC8" t="e">
        <f ca="1">CONCATENATE(LARGE(BC$3:BC$7,1)," ",LARGE(BC$3:BC$7,2)," ",LARGE(BC$3:BC$7,3)," ",LARGE(BC$3:BC$7,4)," ",LARGE(BC$3:BC$7,5))</f>
        <v>#N/A</v>
      </c>
      <c r="BD8" s="4"/>
      <c r="BE8" t="e">
        <f ca="1">CONCATENATE(LARGE(BE$3:BE$7,1)," ",LARGE(BE$3:BE$7,2)," ",LARGE(BE$3:BE$7,3)," ",LARGE(BE$3:BE$7,4)," ",LARGE(BE$3:BE$7,5))</f>
        <v>#N/A</v>
      </c>
      <c r="BF8" s="4"/>
      <c r="BG8" t="e">
        <f ca="1">CONCATENATE(LARGE(BG$3:BG$7,1)," ",LARGE(BG$3:BG$7,2)," ",LARGE(BG$3:BG$7,3)," ",LARGE(BG$3:BG$7,4)," ",LARGE(BG$3:BG$7,5))</f>
        <v>#N/A</v>
      </c>
      <c r="BH8" s="4"/>
      <c r="BI8" s="32" t="e">
        <f ca="1">CONCATENATE(LARGE(BI$3:BI$7,1)," ",LARGE(BI$3:BI$7,2)," ",LARGE(BI$3:BI$7,3)," ",LARGE(BI$3:BI$7,4)," ",LARGE(BI$3:BI$7,5))</f>
        <v>#N/A</v>
      </c>
      <c r="BJ8" s="4"/>
      <c r="BK8" t="e">
        <f ca="1">CONCATENATE(LARGE(BK$3:BK$7,1)," ",LARGE(BK$3:BK$7,2)," ",LARGE(BK$3:BK$7,3)," ",LARGE(BK$3:BK$7,4)," ",LARGE(BK$3:BK$7,5))</f>
        <v>#N/A</v>
      </c>
      <c r="BL8" s="4"/>
      <c r="BM8" t="e">
        <f ca="1">CONCATENATE(LARGE(BM$3:BM$7,1)," ",LARGE(BM$3:BM$7,2)," ",LARGE(BM$3:BM$7,3)," ",LARGE(BM$3:BM$7,4)," ",LARGE(BM$3:BM$7,5))</f>
        <v>#N/A</v>
      </c>
      <c r="BN8" s="4"/>
      <c r="BO8" t="e">
        <f ca="1">CONCATENATE(LARGE(BO$3:BO$7,1)," ",LARGE(BO$3:BO$7,2)," ",LARGE(BO$3:BO$7,3)," ",LARGE(BO$3:BO$7,4)," ",LARGE(BO$3:BO$7,5))</f>
        <v>#N/A</v>
      </c>
      <c r="BP8" s="4"/>
      <c r="BQ8" t="e">
        <f ca="1">CONCATENATE(LARGE(BQ$3:BQ$7,1)," ",LARGE(BQ$3:BQ$7,2)," ",LARGE(BQ$3:BQ$7,3)," ",LARGE(BQ$3:BQ$7,4)," ",LARGE(BQ$3:BQ$7,5))</f>
        <v>#N/A</v>
      </c>
      <c r="BR8" s="4"/>
      <c r="BS8" t="e">
        <f ca="1">CONCATENATE(LARGE(BS$3:BS$7,1)," ",LARGE(BS$3:BS$7,2)," ",LARGE(BS$3:BS$7,3)," ",LARGE(BS$3:BS$7,4)," ",LARGE(BS$3:BS$7,5))</f>
        <v>#N/A</v>
      </c>
      <c r="BT8" s="4"/>
      <c r="BU8" t="e">
        <f ca="1">CONCATENATE(LARGE(BU$3:BU$7,1)," ",LARGE(BU$3:BU$7,2)," ",LARGE(BU$3:BU$7,3)," ",LARGE(BU$3:BU$7,4)," ",LARGE(BU$3:BU$7,5))</f>
        <v>#N/A</v>
      </c>
      <c r="BV8" s="4"/>
      <c r="BW8" t="e">
        <f ca="1">CONCATENATE(LARGE(BW$3:BW$7,1)," ",LARGE(BW$3:BW$7,2)," ",LARGE(BW$3:BW$7,3)," ",LARGE(BW$3:BW$7,4)," ",LARGE(BW$3:BW$7,5))</f>
        <v>#N/A</v>
      </c>
      <c r="BX8" s="4"/>
      <c r="BY8" t="e">
        <f ca="1">CONCATENATE(LARGE(BY$3:BY$7,1)," ",LARGE(BY$3:BY$7,2)," ",LARGE(BY$3:BY$7,3)," ",LARGE(BY$3:BY$7,4)," ",LARGE(BY$3:BY$7,5))</f>
        <v>#N/A</v>
      </c>
      <c r="BZ8" s="4"/>
      <c r="CA8" t="e">
        <f ca="1">CONCATENATE(LARGE(CA$3:CA$7,1)," ",LARGE(CA$3:CA$7,2)," ",LARGE(CA$3:CA$7,3)," ",LARGE(CA$3:CA$7,4)," ",LARGE(CA$3:CA$7,5))</f>
        <v>#N/A</v>
      </c>
      <c r="CB8" s="4"/>
      <c r="CC8" s="32" t="e">
        <f ca="1">CONCATENATE(LARGE(CC$3:CC$7,1)," ",LARGE(CC$3:CC$7,2)," ",LARGE(CC$3:CC$7,3)," ",LARGE(CC$3:CC$7,4)," ",LARGE(CC$3:CC$7,5))</f>
        <v>#N/A</v>
      </c>
      <c r="CD8" s="4"/>
      <c r="CE8" s="1" t="e">
        <f ca="1">CONCATENATE(LARGE(CE$3:CE$7,1)," ",LARGE(CE$3:CE$7,2)," ",LARGE(CE$3:CE$7,3)," ",LARGE(CE$3:CE$7,4)," ",LARGE(CE$3:CE$7,5))</f>
        <v>#N/A</v>
      </c>
      <c r="CF8" s="4"/>
      <c r="CG8" s="1" t="e">
        <f ca="1">CONCATENATE(LARGE(CG$3:CG$7,1)," ",LARGE(CG$3:CG$7,2)," ",LARGE(CG$3:CG$7,3)," ",LARGE(CG$3:CG$7,4)," ",LARGE(CG$3:CG$7,5))</f>
        <v>#N/A</v>
      </c>
      <c r="CH8" s="4"/>
      <c r="CI8" s="1" t="e">
        <f ca="1">CONCATENATE(LARGE(CI$3:CI$7,1)," ",LARGE(CI$3:CI$7,2)," ",LARGE(CI$3:CI$7,3)," ",LARGE(CI$3:CI$7,4)," ",LARGE(CI$3:CI$7,5))</f>
        <v>#N/A</v>
      </c>
      <c r="CJ8" s="4"/>
      <c r="CK8" s="1" t="e">
        <f ca="1">CONCATENATE(LARGE(CK$3:CK$7,1)," ",LARGE(CK$3:CK$7,2)," ",LARGE(CK$3:CK$7,3)," ",LARGE(CK$3:CK$7,4)," ",LARGE(CK$3:CK$7,5))</f>
        <v>#N/A</v>
      </c>
      <c r="CL8" s="4"/>
      <c r="CM8" s="32" t="e">
        <f ca="1">CONCATENATE(LARGE(CM$3:CM$7,1)," ",LARGE(CM$3:CM$7,2)," ",LARGE(CM$3:CM$7,3)," ",LARGE(CM$3:CM$7,4)," ",LARGE(CM$3:CM$7,5))</f>
        <v>#N/A</v>
      </c>
      <c r="CN8" s="4"/>
      <c r="CO8" s="1" t="e">
        <f ca="1">CONCATENATE(LARGE(CO$3:CO$7,1)," ",LARGE(CO$3:CO$7,2)," ",LARGE(CO$3:CO$7,3)," ",LARGE(CO$3:CO$7,4)," ",LARGE(CO$3:CO$7,5))</f>
        <v>#N/A</v>
      </c>
      <c r="CP8" s="4"/>
      <c r="CQ8" s="1" t="e">
        <f ca="1">CONCATENATE(LARGE(CQ$3:CQ$7,1)," ",LARGE(CQ$3:CQ$7,2)," ",LARGE(CQ$3:CQ$7,3)," ",LARGE(CQ$3:CQ$7,4)," ",LARGE(CQ$3:CQ$7,5))</f>
        <v>#N/A</v>
      </c>
      <c r="CR8" s="4"/>
      <c r="CS8" s="1" t="e">
        <f ca="1">CONCATENATE(LARGE(CS$3:CS$7,1)," ",LARGE(CS$3:CS$7,2)," ",LARGE(CS$3:CS$7,3)," ",LARGE(CS$3:CS$7,4)," ",LARGE(CS$3:CS$7,5))</f>
        <v>#N/A</v>
      </c>
      <c r="CT8" s="4"/>
      <c r="CU8" s="1" t="e">
        <f ca="1">CONCATENATE(LARGE(CU$3:CU$7,1)," ",LARGE(CU$3:CU$7,2)," ",LARGE(CU$3:CU$7,3)," ",LARGE(CU$3:CU$7,4)," ",LARGE(CU$3:CU$7,5))</f>
        <v>#N/A</v>
      </c>
      <c r="CV8" s="4"/>
      <c r="CW8" s="32" t="e">
        <f ca="1">CONCATENATE(LARGE(CW$3:CW$7,1)," ",LARGE(CW$3:CW$7,2)," ",LARGE(CW$3:CW$7,3)," ",LARGE(CW$3:CW$7,4)," ",LARGE(CW$3:CW$7,5))</f>
        <v>#N/A</v>
      </c>
      <c r="CX8" s="4"/>
      <c r="CY8" s="1" t="e">
        <f ca="1">CONCATENATE(LARGE(CY$3:CY$7,1)," ",LARGE(CY$3:CY$7,2)," ",LARGE(CY$3:CY$7,3)," ",LARGE(CY$3:CY$7,4)," ",LARGE(CY$3:CY$7,5))</f>
        <v>#N/A</v>
      </c>
      <c r="CZ8" s="4"/>
      <c r="DA8" s="1" t="e">
        <f ca="1">CONCATENATE(LARGE(DA$3:DA$7,1)," ",LARGE(DA$3:DA$7,2)," ",LARGE(DA$3:DA$7,3)," ",LARGE(DA$3:DA$7,4)," ",LARGE(DA$3:DA$7,5))</f>
        <v>#N/A</v>
      </c>
      <c r="DB8" s="4"/>
      <c r="DC8" s="1" t="e">
        <f ca="1">CONCATENATE(LARGE(DC$3:DC$7,1)," ",LARGE(DC$3:DC$7,2)," ",LARGE(DC$3:DC$7,3)," ",LARGE(DC$3:DC$7,4)," ",LARGE(DC$3:DC$7,5))</f>
        <v>#N/A</v>
      </c>
      <c r="DD8" s="4"/>
      <c r="DE8" s="1" t="e">
        <f ca="1">CONCATENATE(LARGE(DE$3:DE$7,1)," ",LARGE(DE$3:DE$7,2)," ",LARGE(DE$3:DE$7,3)," ",LARGE(DE$3:DE$7,4)," ",LARGE(DE$3:DE$7,5))</f>
        <v>#N/A</v>
      </c>
      <c r="DF8" s="4"/>
      <c r="DG8" s="32" t="e">
        <f ca="1">CONCATENATE(LARGE(DG$3:DG$7,1)," ",LARGE(DG$3:DG$7,2)," ",LARGE(DG$3:DG$7,3)," ",LARGE(DG$3:DG$7,4)," ",LARGE(DG$3:DG$7,5))</f>
        <v>#N/A</v>
      </c>
    </row>
    <row r="9" spans="1:111" s="4" customFormat="1" x14ac:dyDescent="0.3">
      <c r="Y9" s="27"/>
      <c r="AA9" s="27"/>
    </row>
    <row r="10" spans="1:111" s="4" customFormat="1" x14ac:dyDescent="0.3">
      <c r="U10" s="27"/>
      <c r="W10" s="27"/>
      <c r="Y10" s="27"/>
      <c r="AA10" s="27"/>
    </row>
    <row r="11" spans="1:111" s="8" customFormat="1" ht="7.5" hidden="1" customHeight="1" x14ac:dyDescent="0.3">
      <c r="A11" s="20"/>
      <c r="B11" s="1">
        <f t="shared" ref="B11" si="0">IF(MOD(COLUMN(),2)=0,IF(AND(COUNTIF(B$3:B$7,$AH$26),COUNTIF(B$3:B$7,$AJ26)),1,0),0)</f>
        <v>0</v>
      </c>
      <c r="C11" s="1">
        <f t="shared" ref="C11:S11" si="1">IF(MOD(COLUMN(),2)=0,IF(AND(COUNTIF(C$3:C$7,$AH$26),COUNTIF(C$3:C$7,$AJ26)),1,0),0)</f>
        <v>0</v>
      </c>
      <c r="D11" s="1">
        <f t="shared" si="1"/>
        <v>0</v>
      </c>
      <c r="E11" s="1">
        <f t="shared" si="1"/>
        <v>0</v>
      </c>
      <c r="F11" s="1">
        <f t="shared" si="1"/>
        <v>0</v>
      </c>
      <c r="G11" s="1">
        <f t="shared" si="1"/>
        <v>0</v>
      </c>
      <c r="H11" s="1">
        <f t="shared" si="1"/>
        <v>0</v>
      </c>
      <c r="I11" s="1">
        <f t="shared" si="1"/>
        <v>0</v>
      </c>
      <c r="J11" s="1">
        <f t="shared" si="1"/>
        <v>0</v>
      </c>
      <c r="K11" s="1">
        <f t="shared" si="1"/>
        <v>0</v>
      </c>
      <c r="L11" s="1">
        <f t="shared" si="1"/>
        <v>0</v>
      </c>
      <c r="M11" s="1">
        <f t="shared" si="1"/>
        <v>0</v>
      </c>
      <c r="N11" s="1">
        <f t="shared" si="1"/>
        <v>0</v>
      </c>
      <c r="O11" s="1">
        <f t="shared" si="1"/>
        <v>0</v>
      </c>
      <c r="P11" s="1">
        <f t="shared" si="1"/>
        <v>0</v>
      </c>
      <c r="Q11" s="1">
        <f t="shared" si="1"/>
        <v>0</v>
      </c>
      <c r="R11" s="1">
        <f t="shared" si="1"/>
        <v>0</v>
      </c>
      <c r="S11" s="1">
        <f t="shared" si="1"/>
        <v>0</v>
      </c>
      <c r="T11" s="1">
        <f t="shared" ref="T11:CE11" si="2">IF(MOD(COLUMN(),2)=0,IF(AND(COUNTIF(T$3:T$7,$AH$26),COUNTIF(T$3:T$7,$AJ26)),1,0),0)</f>
        <v>0</v>
      </c>
      <c r="U11" s="1">
        <f t="shared" si="2"/>
        <v>0</v>
      </c>
      <c r="V11" s="1">
        <f t="shared" si="2"/>
        <v>0</v>
      </c>
      <c r="W11" s="1">
        <f t="shared" si="2"/>
        <v>0</v>
      </c>
      <c r="X11" s="1">
        <f t="shared" si="2"/>
        <v>0</v>
      </c>
      <c r="Y11" s="1">
        <f t="shared" si="2"/>
        <v>0</v>
      </c>
      <c r="Z11" s="1">
        <f t="shared" si="2"/>
        <v>0</v>
      </c>
      <c r="AA11" s="1">
        <f t="shared" si="2"/>
        <v>0</v>
      </c>
      <c r="AB11" s="1">
        <f t="shared" si="2"/>
        <v>0</v>
      </c>
      <c r="AC11" s="1">
        <f t="shared" si="2"/>
        <v>0</v>
      </c>
      <c r="AD11" s="1">
        <f t="shared" si="2"/>
        <v>0</v>
      </c>
      <c r="AE11" s="1">
        <f t="shared" si="2"/>
        <v>0</v>
      </c>
      <c r="AF11" s="1">
        <f t="shared" si="2"/>
        <v>0</v>
      </c>
      <c r="AG11" s="1">
        <f t="shared" si="2"/>
        <v>0</v>
      </c>
      <c r="AH11" s="1">
        <f t="shared" si="2"/>
        <v>0</v>
      </c>
      <c r="AI11" s="1">
        <f t="shared" si="2"/>
        <v>0</v>
      </c>
      <c r="AJ11" s="1">
        <f t="shared" si="2"/>
        <v>0</v>
      </c>
      <c r="AK11" s="1">
        <f t="shared" si="2"/>
        <v>0</v>
      </c>
      <c r="AL11" s="1">
        <f t="shared" si="2"/>
        <v>0</v>
      </c>
      <c r="AM11" s="1">
        <f t="shared" si="2"/>
        <v>0</v>
      </c>
      <c r="AN11" s="1">
        <f t="shared" si="2"/>
        <v>0</v>
      </c>
      <c r="AO11" s="1">
        <f t="shared" si="2"/>
        <v>0</v>
      </c>
      <c r="AP11" s="1">
        <f t="shared" si="2"/>
        <v>0</v>
      </c>
      <c r="AQ11" s="1">
        <f t="shared" si="2"/>
        <v>0</v>
      </c>
      <c r="AR11" s="1">
        <f t="shared" si="2"/>
        <v>0</v>
      </c>
      <c r="AS11" s="1">
        <f t="shared" si="2"/>
        <v>0</v>
      </c>
      <c r="AT11" s="1">
        <f t="shared" si="2"/>
        <v>0</v>
      </c>
      <c r="AU11" s="1">
        <f t="shared" si="2"/>
        <v>0</v>
      </c>
      <c r="AV11" s="1">
        <f t="shared" si="2"/>
        <v>0</v>
      </c>
      <c r="AW11" s="1">
        <f t="shared" si="2"/>
        <v>0</v>
      </c>
      <c r="AX11" s="1">
        <f t="shared" si="2"/>
        <v>0</v>
      </c>
      <c r="AY11" s="1">
        <f t="shared" si="2"/>
        <v>0</v>
      </c>
      <c r="AZ11" s="1">
        <f t="shared" si="2"/>
        <v>0</v>
      </c>
      <c r="BA11" s="1">
        <f t="shared" si="2"/>
        <v>0</v>
      </c>
      <c r="BB11" s="1">
        <f t="shared" si="2"/>
        <v>0</v>
      </c>
      <c r="BC11" s="1">
        <f t="shared" si="2"/>
        <v>0</v>
      </c>
      <c r="BD11" s="1">
        <f t="shared" si="2"/>
        <v>0</v>
      </c>
      <c r="BE11" s="1">
        <f t="shared" si="2"/>
        <v>0</v>
      </c>
      <c r="BF11" s="1">
        <f t="shared" si="2"/>
        <v>0</v>
      </c>
      <c r="BG11" s="1">
        <f t="shared" si="2"/>
        <v>0</v>
      </c>
      <c r="BH11" s="1">
        <f t="shared" si="2"/>
        <v>0</v>
      </c>
      <c r="BI11" s="1">
        <f t="shared" si="2"/>
        <v>0</v>
      </c>
      <c r="BJ11" s="1">
        <f t="shared" si="2"/>
        <v>0</v>
      </c>
      <c r="BK11" s="1">
        <f t="shared" si="2"/>
        <v>0</v>
      </c>
      <c r="BL11" s="1">
        <f t="shared" si="2"/>
        <v>0</v>
      </c>
      <c r="BM11" s="1">
        <f t="shared" si="2"/>
        <v>0</v>
      </c>
      <c r="BN11" s="1">
        <f t="shared" si="2"/>
        <v>0</v>
      </c>
      <c r="BO11" s="1">
        <f t="shared" si="2"/>
        <v>0</v>
      </c>
      <c r="BP11" s="1">
        <f t="shared" si="2"/>
        <v>0</v>
      </c>
      <c r="BQ11" s="1">
        <f t="shared" si="2"/>
        <v>0</v>
      </c>
      <c r="BR11" s="1">
        <f t="shared" si="2"/>
        <v>0</v>
      </c>
      <c r="BS11" s="1">
        <f t="shared" si="2"/>
        <v>0</v>
      </c>
      <c r="BT11" s="1">
        <f t="shared" si="2"/>
        <v>0</v>
      </c>
      <c r="BU11" s="1">
        <f t="shared" si="2"/>
        <v>0</v>
      </c>
      <c r="BV11" s="1">
        <f t="shared" si="2"/>
        <v>0</v>
      </c>
      <c r="BW11" s="1">
        <f t="shared" si="2"/>
        <v>0</v>
      </c>
      <c r="BX11" s="1">
        <f t="shared" si="2"/>
        <v>0</v>
      </c>
      <c r="BY11" s="1">
        <f t="shared" si="2"/>
        <v>0</v>
      </c>
      <c r="BZ11" s="1">
        <f t="shared" si="2"/>
        <v>0</v>
      </c>
      <c r="CA11" s="1">
        <f t="shared" si="2"/>
        <v>0</v>
      </c>
      <c r="CB11" s="1">
        <f t="shared" si="2"/>
        <v>0</v>
      </c>
      <c r="CC11" s="1">
        <f t="shared" si="2"/>
        <v>0</v>
      </c>
      <c r="CD11" s="1">
        <f t="shared" si="2"/>
        <v>0</v>
      </c>
      <c r="CE11" s="1">
        <f t="shared" si="2"/>
        <v>0</v>
      </c>
      <c r="CF11" s="1">
        <f t="shared" ref="CF11:DG11" si="3">IF(MOD(COLUMN(),2)=0,IF(AND(COUNTIF(CF$3:CF$7,$AH$26),COUNTIF(CF$3:CF$7,$AJ26)),1,0),0)</f>
        <v>0</v>
      </c>
      <c r="CG11" s="1">
        <f t="shared" si="3"/>
        <v>0</v>
      </c>
      <c r="CH11" s="1">
        <f t="shared" si="3"/>
        <v>0</v>
      </c>
      <c r="CI11" s="1">
        <f t="shared" si="3"/>
        <v>0</v>
      </c>
      <c r="CJ11" s="1">
        <f t="shared" si="3"/>
        <v>0</v>
      </c>
      <c r="CK11" s="1">
        <f t="shared" si="3"/>
        <v>0</v>
      </c>
      <c r="CL11" s="1">
        <f t="shared" si="3"/>
        <v>0</v>
      </c>
      <c r="CM11" s="1">
        <f t="shared" si="3"/>
        <v>0</v>
      </c>
      <c r="CN11" s="1">
        <f t="shared" si="3"/>
        <v>0</v>
      </c>
      <c r="CO11" s="1">
        <f t="shared" si="3"/>
        <v>0</v>
      </c>
      <c r="CP11" s="1">
        <f t="shared" si="3"/>
        <v>0</v>
      </c>
      <c r="CQ11" s="1">
        <f t="shared" si="3"/>
        <v>0</v>
      </c>
      <c r="CR11" s="1">
        <f t="shared" si="3"/>
        <v>0</v>
      </c>
      <c r="CS11" s="1">
        <f t="shared" si="3"/>
        <v>0</v>
      </c>
      <c r="CT11" s="1">
        <f t="shared" si="3"/>
        <v>0</v>
      </c>
      <c r="CU11" s="1">
        <f t="shared" si="3"/>
        <v>0</v>
      </c>
      <c r="CV11" s="1">
        <f t="shared" si="3"/>
        <v>0</v>
      </c>
      <c r="CW11" s="1">
        <f t="shared" si="3"/>
        <v>0</v>
      </c>
      <c r="CX11" s="1">
        <f t="shared" si="3"/>
        <v>0</v>
      </c>
      <c r="CY11" s="1">
        <f t="shared" si="3"/>
        <v>0</v>
      </c>
      <c r="CZ11" s="1">
        <f t="shared" si="3"/>
        <v>0</v>
      </c>
      <c r="DA11" s="1">
        <f t="shared" si="3"/>
        <v>0</v>
      </c>
      <c r="DB11" s="1">
        <f t="shared" si="3"/>
        <v>0</v>
      </c>
      <c r="DC11" s="1">
        <f t="shared" si="3"/>
        <v>0</v>
      </c>
      <c r="DD11" s="1">
        <f t="shared" si="3"/>
        <v>0</v>
      </c>
      <c r="DE11" s="1">
        <f t="shared" si="3"/>
        <v>0</v>
      </c>
      <c r="DF11" s="1">
        <f t="shared" si="3"/>
        <v>0</v>
      </c>
      <c r="DG11" s="1">
        <f t="shared" si="3"/>
        <v>0</v>
      </c>
    </row>
    <row r="12" spans="1:111" s="8" customFormat="1" ht="7.5" hidden="1" customHeight="1" x14ac:dyDescent="0.3">
      <c r="A12" s="20"/>
      <c r="B12" s="1">
        <f>IF(MOD(COLUMN(),2)=0,IF(AND(COUNTIF(B$3:B$7,$AH$26),COUNTIF(B$3:B$7,#REF!)),1,0),0)</f>
        <v>0</v>
      </c>
      <c r="C12" s="1">
        <f>IF(MOD(COLUMN(),2)=0,IF(AND(COUNTIF(C$3:C$7,$AH$26),COUNTIF(C$3:C$7,#REF!)),1,0),0)</f>
        <v>0</v>
      </c>
      <c r="D12" s="1">
        <f>IF(MOD(COLUMN(),2)=0,IF(AND(COUNTIF(D$3:D$7,$AH$26),COUNTIF(D$3:D$7,#REF!)),1,0),0)</f>
        <v>0</v>
      </c>
      <c r="E12" s="1">
        <f>IF(MOD(COLUMN(),2)=0,IF(AND(COUNTIF(E$3:E$7,$AH$26),COUNTIF(E$3:E$7,#REF!)),1,0),0)</f>
        <v>0</v>
      </c>
      <c r="F12" s="1">
        <f>IF(MOD(COLUMN(),2)=0,IF(AND(COUNTIF(F$3:F$7,$AH$26),COUNTIF(F$3:F$7,#REF!)),1,0),0)</f>
        <v>0</v>
      </c>
      <c r="G12" s="1">
        <f>IF(MOD(COLUMN(),2)=0,IF(AND(COUNTIF(G$3:G$7,$AH$26),COUNTIF(G$3:G$7,#REF!)),1,0),0)</f>
        <v>0</v>
      </c>
      <c r="H12" s="1">
        <f>IF(MOD(COLUMN(),2)=0,IF(AND(COUNTIF(H$3:H$7,$AH$26),COUNTIF(H$3:H$7,#REF!)),1,0),0)</f>
        <v>0</v>
      </c>
      <c r="I12" s="1">
        <f>IF(MOD(COLUMN(),2)=0,IF(AND(COUNTIF(I$3:I$7,$AH$26),COUNTIF(I$3:I$7,#REF!)),1,0),0)</f>
        <v>0</v>
      </c>
      <c r="J12" s="1">
        <f>IF(MOD(COLUMN(),2)=0,IF(AND(COUNTIF(J$3:J$7,$AH$26),COUNTIF(J$3:J$7,#REF!)),1,0),0)</f>
        <v>0</v>
      </c>
      <c r="K12" s="1">
        <f>IF(MOD(COLUMN(),2)=0,IF(AND(COUNTIF(K$3:K$7,$AH$26),COUNTIF(K$3:K$7,#REF!)),1,0),0)</f>
        <v>0</v>
      </c>
      <c r="L12" s="1">
        <f>IF(MOD(COLUMN(),2)=0,IF(AND(COUNTIF(L$3:L$7,$AH$26),COUNTIF(L$3:L$7,#REF!)),1,0),0)</f>
        <v>0</v>
      </c>
      <c r="M12" s="1">
        <f>IF(MOD(COLUMN(),2)=0,IF(AND(COUNTIF(M$3:M$7,$AH$26),COUNTIF(M$3:M$7,#REF!)),1,0),0)</f>
        <v>0</v>
      </c>
      <c r="N12" s="1">
        <f>IF(MOD(COLUMN(),2)=0,IF(AND(COUNTIF(N$3:N$7,$AH$26),COUNTIF(N$3:N$7,#REF!)),1,0),0)</f>
        <v>0</v>
      </c>
      <c r="O12" s="1">
        <f>IF(MOD(COLUMN(),2)=0,IF(AND(COUNTIF(O$3:O$7,$AH$26),COUNTIF(O$3:O$7,#REF!)),1,0),0)</f>
        <v>0</v>
      </c>
      <c r="P12" s="1">
        <f>IF(MOD(COLUMN(),2)=0,IF(AND(COUNTIF(P$3:P$7,$AH$26),COUNTIF(P$3:P$7,#REF!)),1,0),0)</f>
        <v>0</v>
      </c>
      <c r="Q12" s="1">
        <f>IF(MOD(COLUMN(),2)=0,IF(AND(COUNTIF(Q$3:Q$7,$AH$26),COUNTIF(Q$3:Q$7,#REF!)),1,0),0)</f>
        <v>0</v>
      </c>
      <c r="R12" s="1">
        <f>IF(MOD(COLUMN(),2)=0,IF(AND(COUNTIF(R$3:R$7,$AH$26),COUNTIF(R$3:R$7,#REF!)),1,0),0)</f>
        <v>0</v>
      </c>
      <c r="S12" s="1">
        <f>IF(MOD(COLUMN(),2)=0,IF(AND(COUNTIF(S$3:S$7,$AH$26),COUNTIF(S$3:S$7,#REF!)),1,0),0)</f>
        <v>0</v>
      </c>
      <c r="T12" s="1">
        <f>IF(MOD(COLUMN(),2)=0,IF(AND(COUNTIF(T$3:T$7,$AH$26),COUNTIF(T$3:T$7,#REF!)),1,0),0)</f>
        <v>0</v>
      </c>
      <c r="U12" s="1">
        <f>IF(MOD(COLUMN(),2)=0,IF(AND(COUNTIF(U$3:U$7,$AH$26),COUNTIF(U$3:U$7,#REF!)),1,0),0)</f>
        <v>0</v>
      </c>
      <c r="V12" s="1">
        <f>IF(MOD(COLUMN(),2)=0,IF(AND(COUNTIF(V$3:V$7,$AH$26),COUNTIF(V$3:V$7,#REF!)),1,0),0)</f>
        <v>0</v>
      </c>
      <c r="W12" s="1">
        <f>IF(MOD(COLUMN(),2)=0,IF(AND(COUNTIF(W$3:W$7,$AH$26),COUNTIF(W$3:W$7,#REF!)),1,0),0)</f>
        <v>0</v>
      </c>
      <c r="X12" s="1">
        <f>IF(MOD(COLUMN(),2)=0,IF(AND(COUNTIF(X$3:X$7,$AH$26),COUNTIF(X$3:X$7,#REF!)),1,0),0)</f>
        <v>0</v>
      </c>
      <c r="Y12" s="1">
        <f>IF(MOD(COLUMN(),2)=0,IF(AND(COUNTIF(Y$3:Y$7,$AH$26),COUNTIF(Y$3:Y$7,#REF!)),1,0),0)</f>
        <v>0</v>
      </c>
      <c r="Z12" s="1">
        <f>IF(MOD(COLUMN(),2)=0,IF(AND(COUNTIF(Z$3:Z$7,$AH$26),COUNTIF(Z$3:Z$7,#REF!)),1,0),0)</f>
        <v>0</v>
      </c>
      <c r="AA12" s="1">
        <f>IF(MOD(COLUMN(),2)=0,IF(AND(COUNTIF(AA$3:AA$7,$AH$26),COUNTIF(AA$3:AA$7,#REF!)),1,0),0)</f>
        <v>0</v>
      </c>
      <c r="AB12" s="1">
        <f>IF(MOD(COLUMN(),2)=0,IF(AND(COUNTIF(AB$3:AB$7,$AH$26),COUNTIF(AB$3:AB$7,#REF!)),1,0),0)</f>
        <v>0</v>
      </c>
      <c r="AC12" s="1">
        <f>IF(MOD(COLUMN(),2)=0,IF(AND(COUNTIF(AC$3:AC$7,$AH$26),COUNTIF(AC$3:AC$7,#REF!)),1,0),0)</f>
        <v>0</v>
      </c>
      <c r="AD12" s="1">
        <f>IF(MOD(COLUMN(),2)=0,IF(AND(COUNTIF(AD$3:AD$7,$AH$26),COUNTIF(AD$3:AD$7,#REF!)),1,0),0)</f>
        <v>0</v>
      </c>
      <c r="AE12" s="1">
        <f>IF(MOD(COLUMN(),2)=0,IF(AND(COUNTIF(AE$3:AE$7,$AH$26),COUNTIF(AE$3:AE$7,#REF!)),1,0),0)</f>
        <v>0</v>
      </c>
      <c r="AF12" s="1">
        <f>IF(MOD(COLUMN(),2)=0,IF(AND(COUNTIF(AF$3:AF$7,$AH$26),COUNTIF(AF$3:AF$7,#REF!)),1,0),0)</f>
        <v>0</v>
      </c>
      <c r="AG12" s="1">
        <f>IF(MOD(COLUMN(),2)=0,IF(AND(COUNTIF(AG$3:AG$7,$AH$26),COUNTIF(AG$3:AG$7,#REF!)),1,0),0)</f>
        <v>0</v>
      </c>
      <c r="AH12" s="1">
        <f>IF(MOD(COLUMN(),2)=0,IF(AND(COUNTIF(AH$3:AH$7,$AH$26),COUNTIF(AH$3:AH$7,#REF!)),1,0),0)</f>
        <v>0</v>
      </c>
      <c r="AI12" s="1">
        <f>IF(MOD(COLUMN(),2)=0,IF(AND(COUNTIF(AI$3:AI$7,$AH$26),COUNTIF(AI$3:AI$7,#REF!)),1,0),0)</f>
        <v>0</v>
      </c>
      <c r="AJ12" s="1">
        <f>IF(MOD(COLUMN(),2)=0,IF(AND(COUNTIF(AJ$3:AJ$7,$AH$26),COUNTIF(AJ$3:AJ$7,#REF!)),1,0),0)</f>
        <v>0</v>
      </c>
      <c r="AK12" s="1">
        <f>IF(MOD(COLUMN(),2)=0,IF(AND(COUNTIF(AK$3:AK$7,$AH$26),COUNTIF(AK$3:AK$7,#REF!)),1,0),0)</f>
        <v>0</v>
      </c>
      <c r="AL12" s="1">
        <f>IF(MOD(COLUMN(),2)=0,IF(AND(COUNTIF(AL$3:AL$7,$AH$26),COUNTIF(AL$3:AL$7,#REF!)),1,0),0)</f>
        <v>0</v>
      </c>
      <c r="AM12" s="1">
        <f>IF(MOD(COLUMN(),2)=0,IF(AND(COUNTIF(AM$3:AM$7,$AH$26),COUNTIF(AM$3:AM$7,#REF!)),1,0),0)</f>
        <v>0</v>
      </c>
      <c r="AN12" s="1">
        <f>IF(MOD(COLUMN(),2)=0,IF(AND(COUNTIF(AN$3:AN$7,$AH$26),COUNTIF(AN$3:AN$7,#REF!)),1,0),0)</f>
        <v>0</v>
      </c>
      <c r="AO12" s="1">
        <f>IF(MOD(COLUMN(),2)=0,IF(AND(COUNTIF(AO$3:AO$7,$AH$26),COUNTIF(AO$3:AO$7,#REF!)),1,0),0)</f>
        <v>0</v>
      </c>
      <c r="AP12" s="1">
        <f>IF(MOD(COLUMN(),2)=0,IF(AND(COUNTIF(AP$3:AP$7,$AH$26),COUNTIF(AP$3:AP$7,#REF!)),1,0),0)</f>
        <v>0</v>
      </c>
      <c r="AQ12" s="1">
        <f>IF(MOD(COLUMN(),2)=0,IF(AND(COUNTIF(AQ$3:AQ$7,$AH$26),COUNTIF(AQ$3:AQ$7,#REF!)),1,0),0)</f>
        <v>0</v>
      </c>
      <c r="AR12" s="1">
        <f>IF(MOD(COLUMN(),2)=0,IF(AND(COUNTIF(AR$3:AR$7,$AH$26),COUNTIF(AR$3:AR$7,#REF!)),1,0),0)</f>
        <v>0</v>
      </c>
      <c r="AS12" s="1">
        <f>IF(MOD(COLUMN(),2)=0,IF(AND(COUNTIF(AS$3:AS$7,$AH$26),COUNTIF(AS$3:AS$7,#REF!)),1,0),0)</f>
        <v>0</v>
      </c>
      <c r="AT12" s="1">
        <f>IF(MOD(COLUMN(),2)=0,IF(AND(COUNTIF(AT$3:AT$7,$AH$26),COUNTIF(AT$3:AT$7,#REF!)),1,0),0)</f>
        <v>0</v>
      </c>
      <c r="AU12" s="1">
        <f>IF(MOD(COLUMN(),2)=0,IF(AND(COUNTIF(AU$3:AU$7,$AH$26),COUNTIF(AU$3:AU$7,#REF!)),1,0),0)</f>
        <v>0</v>
      </c>
      <c r="AV12" s="1">
        <f>IF(MOD(COLUMN(),2)=0,IF(AND(COUNTIF(AV$3:AV$7,$AH$26),COUNTIF(AV$3:AV$7,#REF!)),1,0),0)</f>
        <v>0</v>
      </c>
      <c r="AW12" s="1">
        <f>IF(MOD(COLUMN(),2)=0,IF(AND(COUNTIF(AW$3:AW$7,$AH$26),COUNTIF(AW$3:AW$7,#REF!)),1,0),0)</f>
        <v>0</v>
      </c>
      <c r="AX12" s="1">
        <f>IF(MOD(COLUMN(),2)=0,IF(AND(COUNTIF(AX$3:AX$7,$AH$26),COUNTIF(AX$3:AX$7,#REF!)),1,0),0)</f>
        <v>0</v>
      </c>
      <c r="AY12" s="1">
        <f>IF(MOD(COLUMN(),2)=0,IF(AND(COUNTIF(AY$3:AY$7,$AH$26),COUNTIF(AY$3:AY$7,#REF!)),1,0),0)</f>
        <v>0</v>
      </c>
      <c r="AZ12" s="1">
        <f>IF(MOD(COLUMN(),2)=0,IF(AND(COUNTIF(AZ$3:AZ$7,$AH$26),COUNTIF(AZ$3:AZ$7,#REF!)),1,0),0)</f>
        <v>0</v>
      </c>
      <c r="BA12" s="1">
        <f>IF(MOD(COLUMN(),2)=0,IF(AND(COUNTIF(BA$3:BA$7,$AH$26),COUNTIF(BA$3:BA$7,#REF!)),1,0),0)</f>
        <v>0</v>
      </c>
      <c r="BB12" s="1">
        <f>IF(MOD(COLUMN(),2)=0,IF(AND(COUNTIF(BB$3:BB$7,$AH$26),COUNTIF(BB$3:BB$7,#REF!)),1,0),0)</f>
        <v>0</v>
      </c>
      <c r="BC12" s="1">
        <f>IF(MOD(COLUMN(),2)=0,IF(AND(COUNTIF(BC$3:BC$7,$AH$26),COUNTIF(BC$3:BC$7,#REF!)),1,0),0)</f>
        <v>0</v>
      </c>
      <c r="BD12" s="1">
        <f>IF(MOD(COLUMN(),2)=0,IF(AND(COUNTIF(BD$3:BD$7,$AH$26),COUNTIF(BD$3:BD$7,#REF!)),1,0),0)</f>
        <v>0</v>
      </c>
      <c r="BE12" s="1">
        <f>IF(MOD(COLUMN(),2)=0,IF(AND(COUNTIF(BE$3:BE$7,$AH$26),COUNTIF(BE$3:BE$7,#REF!)),1,0),0)</f>
        <v>0</v>
      </c>
      <c r="BF12" s="1">
        <f>IF(MOD(COLUMN(),2)=0,IF(AND(COUNTIF(BF$3:BF$7,$AH$26),COUNTIF(BF$3:BF$7,#REF!)),1,0),0)</f>
        <v>0</v>
      </c>
      <c r="BG12" s="1">
        <f>IF(MOD(COLUMN(),2)=0,IF(AND(COUNTIF(BG$3:BG$7,$AH$26),COUNTIF(BG$3:BG$7,#REF!)),1,0),0)</f>
        <v>0</v>
      </c>
      <c r="BH12" s="1">
        <f>IF(MOD(COLUMN(),2)=0,IF(AND(COUNTIF(BH$3:BH$7,$AH$26),COUNTIF(BH$3:BH$7,#REF!)),1,0),0)</f>
        <v>0</v>
      </c>
      <c r="BI12" s="1">
        <f>IF(MOD(COLUMN(),2)=0,IF(AND(COUNTIF(BI$3:BI$7,$AH$26),COUNTIF(BI$3:BI$7,#REF!)),1,0),0)</f>
        <v>0</v>
      </c>
      <c r="BJ12" s="1">
        <f>IF(MOD(COLUMN(),2)=0,IF(AND(COUNTIF(BJ$3:BJ$7,$AH$26),COUNTIF(BJ$3:BJ$7,#REF!)),1,0),0)</f>
        <v>0</v>
      </c>
      <c r="BK12" s="1">
        <f>IF(MOD(COLUMN(),2)=0,IF(AND(COUNTIF(BK$3:BK$7,$AH$26),COUNTIF(BK$3:BK$7,#REF!)),1,0),0)</f>
        <v>0</v>
      </c>
      <c r="BL12" s="1">
        <f>IF(MOD(COLUMN(),2)=0,IF(AND(COUNTIF(BL$3:BL$7,$AH$26),COUNTIF(BL$3:BL$7,#REF!)),1,0),0)</f>
        <v>0</v>
      </c>
      <c r="BM12" s="1">
        <f>IF(MOD(COLUMN(),2)=0,IF(AND(COUNTIF(BM$3:BM$7,$AH$26),COUNTIF(BM$3:BM$7,#REF!)),1,0),0)</f>
        <v>0</v>
      </c>
      <c r="BN12" s="1">
        <f>IF(MOD(COLUMN(),2)=0,IF(AND(COUNTIF(BN$3:BN$7,$AH$26),COUNTIF(BN$3:BN$7,#REF!)),1,0),0)</f>
        <v>0</v>
      </c>
      <c r="BO12" s="1">
        <f>IF(MOD(COLUMN(),2)=0,IF(AND(COUNTIF(BO$3:BO$7,$AH$26),COUNTIF(BO$3:BO$7,#REF!)),1,0),0)</f>
        <v>0</v>
      </c>
      <c r="BP12" s="1">
        <f>IF(MOD(COLUMN(),2)=0,IF(AND(COUNTIF(BP$3:BP$7,$AH$26),COUNTIF(BP$3:BP$7,#REF!)),1,0),0)</f>
        <v>0</v>
      </c>
      <c r="BQ12" s="1">
        <f>IF(MOD(COLUMN(),2)=0,IF(AND(COUNTIF(BQ$3:BQ$7,$AH$26),COUNTIF(BQ$3:BQ$7,#REF!)),1,0),0)</f>
        <v>0</v>
      </c>
      <c r="BR12" s="1">
        <f>IF(MOD(COLUMN(),2)=0,IF(AND(COUNTIF(BR$3:BR$7,$AH$26),COUNTIF(BR$3:BR$7,#REF!)),1,0),0)</f>
        <v>0</v>
      </c>
      <c r="BS12" s="1">
        <f>IF(MOD(COLUMN(),2)=0,IF(AND(COUNTIF(BS$3:BS$7,$AH$26),COUNTIF(BS$3:BS$7,#REF!)),1,0),0)</f>
        <v>0</v>
      </c>
      <c r="BT12" s="1">
        <f>IF(MOD(COLUMN(),2)=0,IF(AND(COUNTIF(BT$3:BT$7,$AH$26),COUNTIF(BT$3:BT$7,#REF!)),1,0),0)</f>
        <v>0</v>
      </c>
      <c r="BU12" s="1">
        <f>IF(MOD(COLUMN(),2)=0,IF(AND(COUNTIF(BU$3:BU$7,$AH$26),COUNTIF(BU$3:BU$7,#REF!)),1,0),0)</f>
        <v>0</v>
      </c>
      <c r="BV12" s="1">
        <f>IF(MOD(COLUMN(),2)=0,IF(AND(COUNTIF(BV$3:BV$7,$AH$26),COUNTIF(BV$3:BV$7,#REF!)),1,0),0)</f>
        <v>0</v>
      </c>
      <c r="BW12" s="1">
        <f>IF(MOD(COLUMN(),2)=0,IF(AND(COUNTIF(BW$3:BW$7,$AH$26),COUNTIF(BW$3:BW$7,#REF!)),1,0),0)</f>
        <v>0</v>
      </c>
      <c r="BX12" s="1">
        <f>IF(MOD(COLUMN(),2)=0,IF(AND(COUNTIF(BX$3:BX$7,$AH$26),COUNTIF(BX$3:BX$7,#REF!)),1,0),0)</f>
        <v>0</v>
      </c>
      <c r="BY12" s="1">
        <f>IF(MOD(COLUMN(),2)=0,IF(AND(COUNTIF(BY$3:BY$7,$AH$26),COUNTIF(BY$3:BY$7,#REF!)),1,0),0)</f>
        <v>0</v>
      </c>
      <c r="BZ12" s="1">
        <f>IF(MOD(COLUMN(),2)=0,IF(AND(COUNTIF(BZ$3:BZ$7,$AH$26),COUNTIF(BZ$3:BZ$7,#REF!)),1,0),0)</f>
        <v>0</v>
      </c>
      <c r="CA12" s="1">
        <f>IF(MOD(COLUMN(),2)=0,IF(AND(COUNTIF(CA$3:CA$7,$AH$26),COUNTIF(CA$3:CA$7,#REF!)),1,0),0)</f>
        <v>0</v>
      </c>
      <c r="CB12" s="1">
        <f>IF(MOD(COLUMN(),2)=0,IF(AND(COUNTIF(CB$3:CB$7,$AH$26),COUNTIF(CB$3:CB$7,#REF!)),1,0),0)</f>
        <v>0</v>
      </c>
      <c r="CC12" s="1">
        <f>IF(MOD(COLUMN(),2)=0,IF(AND(COUNTIF(CC$3:CC$7,$AH$26),COUNTIF(CC$3:CC$7,#REF!)),1,0),0)</f>
        <v>0</v>
      </c>
      <c r="CD12" s="1">
        <f>IF(MOD(COLUMN(),2)=0,IF(AND(COUNTIF(CD$3:CD$7,$AH$26),COUNTIF(CD$3:CD$7,#REF!)),1,0),0)</f>
        <v>0</v>
      </c>
      <c r="CE12" s="1">
        <f>IF(MOD(COLUMN(),2)=0,IF(AND(COUNTIF(CE$3:CE$7,$AH$26),COUNTIF(CE$3:CE$7,#REF!)),1,0),0)</f>
        <v>0</v>
      </c>
      <c r="CF12" s="1">
        <f>IF(MOD(COLUMN(),2)=0,IF(AND(COUNTIF(CF$3:CF$7,$AH$26),COUNTIF(CF$3:CF$7,#REF!)),1,0),0)</f>
        <v>0</v>
      </c>
      <c r="CG12" s="1">
        <f>IF(MOD(COLUMN(),2)=0,IF(AND(COUNTIF(CG$3:CG$7,$AH$26),COUNTIF(CG$3:CG$7,#REF!)),1,0),0)</f>
        <v>0</v>
      </c>
      <c r="CH12" s="1">
        <f>IF(MOD(COLUMN(),2)=0,IF(AND(COUNTIF(CH$3:CH$7,$AH$26),COUNTIF(CH$3:CH$7,#REF!)),1,0),0)</f>
        <v>0</v>
      </c>
      <c r="CI12" s="1">
        <f>IF(MOD(COLUMN(),2)=0,IF(AND(COUNTIF(CI$3:CI$7,$AH$26),COUNTIF(CI$3:CI$7,#REF!)),1,0),0)</f>
        <v>0</v>
      </c>
      <c r="CJ12" s="1">
        <f>IF(MOD(COLUMN(),2)=0,IF(AND(COUNTIF(CJ$3:CJ$7,$AH$26),COUNTIF(CJ$3:CJ$7,#REF!)),1,0),0)</f>
        <v>0</v>
      </c>
      <c r="CK12" s="1">
        <f>IF(MOD(COLUMN(),2)=0,IF(AND(COUNTIF(CK$3:CK$7,$AH$26),COUNTIF(CK$3:CK$7,#REF!)),1,0),0)</f>
        <v>0</v>
      </c>
      <c r="CL12" s="1">
        <f>IF(MOD(COLUMN(),2)=0,IF(AND(COUNTIF(CL$3:CL$7,$AH$26),COUNTIF(CL$3:CL$7,#REF!)),1,0),0)</f>
        <v>0</v>
      </c>
      <c r="CM12" s="1">
        <f>IF(MOD(COLUMN(),2)=0,IF(AND(COUNTIF(CM$3:CM$7,$AH$26),COUNTIF(CM$3:CM$7,#REF!)),1,0),0)</f>
        <v>0</v>
      </c>
      <c r="CN12" s="1">
        <f>IF(MOD(COLUMN(),2)=0,IF(AND(COUNTIF(CN$3:CN$7,$AH$26),COUNTIF(CN$3:CN$7,#REF!)),1,0),0)</f>
        <v>0</v>
      </c>
      <c r="CO12" s="1">
        <f>IF(MOD(COLUMN(),2)=0,IF(AND(COUNTIF(CO$3:CO$7,$AH$26),COUNTIF(CO$3:CO$7,#REF!)),1,0),0)</f>
        <v>0</v>
      </c>
      <c r="CP12" s="1">
        <f>IF(MOD(COLUMN(),2)=0,IF(AND(COUNTIF(CP$3:CP$7,$AH$26),COUNTIF(CP$3:CP$7,#REF!)),1,0),0)</f>
        <v>0</v>
      </c>
      <c r="CQ12" s="1">
        <f>IF(MOD(COLUMN(),2)=0,IF(AND(COUNTIF(CQ$3:CQ$7,$AH$26),COUNTIF(CQ$3:CQ$7,#REF!)),1,0),0)</f>
        <v>0</v>
      </c>
      <c r="CR12" s="1">
        <f>IF(MOD(COLUMN(),2)=0,IF(AND(COUNTIF(CR$3:CR$7,$AH$26),COUNTIF(CR$3:CR$7,#REF!)),1,0),0)</f>
        <v>0</v>
      </c>
      <c r="CS12" s="1">
        <f>IF(MOD(COLUMN(),2)=0,IF(AND(COUNTIF(CS$3:CS$7,$AH$26),COUNTIF(CS$3:CS$7,#REF!)),1,0),0)</f>
        <v>0</v>
      </c>
      <c r="CT12" s="1">
        <f>IF(MOD(COLUMN(),2)=0,IF(AND(COUNTIF(CT$3:CT$7,$AH$26),COUNTIF(CT$3:CT$7,#REF!)),1,0),0)</f>
        <v>0</v>
      </c>
      <c r="CU12" s="1">
        <f>IF(MOD(COLUMN(),2)=0,IF(AND(COUNTIF(CU$3:CU$7,$AH$26),COUNTIF(CU$3:CU$7,#REF!)),1,0),0)</f>
        <v>0</v>
      </c>
      <c r="CV12" s="1">
        <f>IF(MOD(COLUMN(),2)=0,IF(AND(COUNTIF(CV$3:CV$7,$AH$26),COUNTIF(CV$3:CV$7,#REF!)),1,0),0)</f>
        <v>0</v>
      </c>
      <c r="CW12" s="1">
        <f>IF(MOD(COLUMN(),2)=0,IF(AND(COUNTIF(CW$3:CW$7,$AH$26),COUNTIF(CW$3:CW$7,#REF!)),1,0),0)</f>
        <v>0</v>
      </c>
      <c r="CX12" s="1">
        <f>IF(MOD(COLUMN(),2)=0,IF(AND(COUNTIF(CX$3:CX$7,$AH$26),COUNTIF(CX$3:CX$7,#REF!)),1,0),0)</f>
        <v>0</v>
      </c>
      <c r="CY12" s="1">
        <f>IF(MOD(COLUMN(),2)=0,IF(AND(COUNTIF(CY$3:CY$7,$AH$26),COUNTIF(CY$3:CY$7,#REF!)),1,0),0)</f>
        <v>0</v>
      </c>
      <c r="CZ12" s="1">
        <f>IF(MOD(COLUMN(),2)=0,IF(AND(COUNTIF(CZ$3:CZ$7,$AH$26),COUNTIF(CZ$3:CZ$7,#REF!)),1,0),0)</f>
        <v>0</v>
      </c>
      <c r="DA12" s="1">
        <f>IF(MOD(COLUMN(),2)=0,IF(AND(COUNTIF(DA$3:DA$7,$AH$26),COUNTIF(DA$3:DA$7,#REF!)),1,0),0)</f>
        <v>0</v>
      </c>
      <c r="DB12" s="1">
        <f>IF(MOD(COLUMN(),2)=0,IF(AND(COUNTIF(DB$3:DB$7,$AH$26),COUNTIF(DB$3:DB$7,#REF!)),1,0),0)</f>
        <v>0</v>
      </c>
      <c r="DC12" s="1">
        <f>IF(MOD(COLUMN(),2)=0,IF(AND(COUNTIF(DC$3:DC$7,$AH$26),COUNTIF(DC$3:DC$7,#REF!)),1,0),0)</f>
        <v>0</v>
      </c>
      <c r="DD12" s="1">
        <f>IF(MOD(COLUMN(),2)=0,IF(AND(COUNTIF(DD$3:DD$7,$AH$26),COUNTIF(DD$3:DD$7,#REF!)),1,0),0)</f>
        <v>0</v>
      </c>
      <c r="DE12" s="1">
        <f>IF(MOD(COLUMN(),2)=0,IF(AND(COUNTIF(DE$3:DE$7,$AH$26),COUNTIF(DE$3:DE$7,#REF!)),1,0),0)</f>
        <v>0</v>
      </c>
      <c r="DF12" s="1">
        <f>IF(MOD(COLUMN(),2)=0,IF(AND(COUNTIF(DF$3:DF$7,$AH$26),COUNTIF(DF$3:DF$7,#REF!)),1,0),0)</f>
        <v>0</v>
      </c>
      <c r="DG12" s="1">
        <f>IF(MOD(COLUMN(),2)=0,IF(AND(COUNTIF(DG$3:DG$7,$AH$26),COUNTIF(DG$3:DG$7,#REF!)),1,0),0)</f>
        <v>0</v>
      </c>
    </row>
    <row r="13" spans="1:111" s="20" customFormat="1" ht="7.5" hidden="1" customHeight="1" x14ac:dyDescent="0.3">
      <c r="B13" s="1">
        <f t="shared" ref="B13:AG13" si="4">IF(MOD(COLUMN(),2)=0,IF(AND(COUNTIF(B$3:B$7,$AH$26),COUNTIF(B$3:B$7,$AJ27)),1,0),0)</f>
        <v>0</v>
      </c>
      <c r="C13" s="1">
        <f t="shared" si="4"/>
        <v>0</v>
      </c>
      <c r="D13" s="1">
        <f t="shared" si="4"/>
        <v>0</v>
      </c>
      <c r="E13" s="1">
        <f t="shared" si="4"/>
        <v>0</v>
      </c>
      <c r="F13" s="1">
        <f t="shared" si="4"/>
        <v>0</v>
      </c>
      <c r="G13" s="1">
        <f t="shared" si="4"/>
        <v>0</v>
      </c>
      <c r="H13" s="1">
        <f t="shared" si="4"/>
        <v>0</v>
      </c>
      <c r="I13" s="1">
        <f t="shared" si="4"/>
        <v>0</v>
      </c>
      <c r="J13" s="1">
        <f t="shared" si="4"/>
        <v>0</v>
      </c>
      <c r="K13" s="1">
        <f t="shared" si="4"/>
        <v>0</v>
      </c>
      <c r="L13" s="1">
        <f t="shared" si="4"/>
        <v>0</v>
      </c>
      <c r="M13" s="1">
        <f t="shared" si="4"/>
        <v>0</v>
      </c>
      <c r="N13" s="1">
        <f t="shared" si="4"/>
        <v>0</v>
      </c>
      <c r="O13" s="1">
        <f t="shared" si="4"/>
        <v>0</v>
      </c>
      <c r="P13" s="1">
        <f t="shared" si="4"/>
        <v>0</v>
      </c>
      <c r="Q13" s="1">
        <f t="shared" si="4"/>
        <v>0</v>
      </c>
      <c r="R13" s="1">
        <f t="shared" si="4"/>
        <v>0</v>
      </c>
      <c r="S13" s="1">
        <f t="shared" si="4"/>
        <v>0</v>
      </c>
      <c r="T13" s="1">
        <f t="shared" si="4"/>
        <v>0</v>
      </c>
      <c r="U13" s="1">
        <f t="shared" si="4"/>
        <v>0</v>
      </c>
      <c r="V13" s="1">
        <f t="shared" si="4"/>
        <v>0</v>
      </c>
      <c r="W13" s="1">
        <f t="shared" si="4"/>
        <v>0</v>
      </c>
      <c r="X13" s="1">
        <f t="shared" si="4"/>
        <v>0</v>
      </c>
      <c r="Y13" s="1">
        <f t="shared" si="4"/>
        <v>0</v>
      </c>
      <c r="Z13" s="1">
        <f t="shared" si="4"/>
        <v>0</v>
      </c>
      <c r="AA13" s="1">
        <f t="shared" si="4"/>
        <v>0</v>
      </c>
      <c r="AB13" s="1">
        <f t="shared" si="4"/>
        <v>0</v>
      </c>
      <c r="AC13" s="1">
        <f t="shared" si="4"/>
        <v>0</v>
      </c>
      <c r="AD13" s="1">
        <f t="shared" si="4"/>
        <v>0</v>
      </c>
      <c r="AE13" s="1">
        <f t="shared" si="4"/>
        <v>0</v>
      </c>
      <c r="AF13" s="1">
        <f t="shared" si="4"/>
        <v>0</v>
      </c>
      <c r="AG13" s="1">
        <f t="shared" si="4"/>
        <v>0</v>
      </c>
      <c r="AH13" s="1">
        <f t="shared" ref="AH13:BM13" si="5">IF(MOD(COLUMN(),2)=0,IF(AND(COUNTIF(AH$3:AH$7,$AH$26),COUNTIF(AH$3:AH$7,$AJ27)),1,0),0)</f>
        <v>0</v>
      </c>
      <c r="AI13" s="1">
        <f t="shared" si="5"/>
        <v>0</v>
      </c>
      <c r="AJ13" s="1">
        <f t="shared" si="5"/>
        <v>0</v>
      </c>
      <c r="AK13" s="1">
        <f t="shared" si="5"/>
        <v>0</v>
      </c>
      <c r="AL13" s="1">
        <f t="shared" si="5"/>
        <v>0</v>
      </c>
      <c r="AM13" s="1">
        <f t="shared" si="5"/>
        <v>0</v>
      </c>
      <c r="AN13" s="1">
        <f t="shared" si="5"/>
        <v>0</v>
      </c>
      <c r="AO13" s="1">
        <f t="shared" si="5"/>
        <v>0</v>
      </c>
      <c r="AP13" s="1">
        <f t="shared" si="5"/>
        <v>0</v>
      </c>
      <c r="AQ13" s="1">
        <f t="shared" si="5"/>
        <v>0</v>
      </c>
      <c r="AR13" s="1">
        <f t="shared" si="5"/>
        <v>0</v>
      </c>
      <c r="AS13" s="1">
        <f t="shared" si="5"/>
        <v>0</v>
      </c>
      <c r="AT13" s="1">
        <f t="shared" si="5"/>
        <v>0</v>
      </c>
      <c r="AU13" s="1">
        <f t="shared" si="5"/>
        <v>0</v>
      </c>
      <c r="AV13" s="1">
        <f t="shared" si="5"/>
        <v>0</v>
      </c>
      <c r="AW13" s="1">
        <f t="shared" si="5"/>
        <v>0</v>
      </c>
      <c r="AX13" s="1">
        <f t="shared" si="5"/>
        <v>0</v>
      </c>
      <c r="AY13" s="1">
        <f t="shared" si="5"/>
        <v>0</v>
      </c>
      <c r="AZ13" s="1">
        <f t="shared" si="5"/>
        <v>0</v>
      </c>
      <c r="BA13" s="1">
        <f t="shared" si="5"/>
        <v>0</v>
      </c>
      <c r="BB13" s="1">
        <f t="shared" si="5"/>
        <v>0</v>
      </c>
      <c r="BC13" s="1">
        <f t="shared" si="5"/>
        <v>0</v>
      </c>
      <c r="BD13" s="1">
        <f t="shared" si="5"/>
        <v>0</v>
      </c>
      <c r="BE13" s="1">
        <f t="shared" si="5"/>
        <v>0</v>
      </c>
      <c r="BF13" s="1">
        <f t="shared" si="5"/>
        <v>0</v>
      </c>
      <c r="BG13" s="1">
        <f t="shared" si="5"/>
        <v>0</v>
      </c>
      <c r="BH13" s="1">
        <f t="shared" si="5"/>
        <v>0</v>
      </c>
      <c r="BI13" s="1">
        <f t="shared" si="5"/>
        <v>0</v>
      </c>
      <c r="BJ13" s="1">
        <f t="shared" si="5"/>
        <v>0</v>
      </c>
      <c r="BK13" s="1">
        <f t="shared" si="5"/>
        <v>0</v>
      </c>
      <c r="BL13" s="1">
        <f t="shared" si="5"/>
        <v>0</v>
      </c>
      <c r="BM13" s="1">
        <f t="shared" si="5"/>
        <v>0</v>
      </c>
      <c r="BN13" s="1">
        <f t="shared" ref="BN13:CS13" si="6">IF(MOD(COLUMN(),2)=0,IF(AND(COUNTIF(BN$3:BN$7,$AH$26),COUNTIF(BN$3:BN$7,$AJ27)),1,0),0)</f>
        <v>0</v>
      </c>
      <c r="BO13" s="1">
        <f t="shared" si="6"/>
        <v>0</v>
      </c>
      <c r="BP13" s="1">
        <f t="shared" si="6"/>
        <v>0</v>
      </c>
      <c r="BQ13" s="1">
        <f t="shared" si="6"/>
        <v>0</v>
      </c>
      <c r="BR13" s="1">
        <f t="shared" si="6"/>
        <v>0</v>
      </c>
      <c r="BS13" s="1">
        <f t="shared" si="6"/>
        <v>0</v>
      </c>
      <c r="BT13" s="1">
        <f t="shared" si="6"/>
        <v>0</v>
      </c>
      <c r="BU13" s="1">
        <f t="shared" si="6"/>
        <v>0</v>
      </c>
      <c r="BV13" s="1">
        <f t="shared" si="6"/>
        <v>0</v>
      </c>
      <c r="BW13" s="1">
        <f t="shared" si="6"/>
        <v>0</v>
      </c>
      <c r="BX13" s="1">
        <f t="shared" si="6"/>
        <v>0</v>
      </c>
      <c r="BY13" s="1">
        <f t="shared" si="6"/>
        <v>0</v>
      </c>
      <c r="BZ13" s="1">
        <f t="shared" si="6"/>
        <v>0</v>
      </c>
      <c r="CA13" s="1">
        <f t="shared" si="6"/>
        <v>0</v>
      </c>
      <c r="CB13" s="1">
        <f t="shared" si="6"/>
        <v>0</v>
      </c>
      <c r="CC13" s="1">
        <f t="shared" si="6"/>
        <v>0</v>
      </c>
      <c r="CD13" s="1">
        <f t="shared" si="6"/>
        <v>0</v>
      </c>
      <c r="CE13" s="1">
        <f t="shared" si="6"/>
        <v>0</v>
      </c>
      <c r="CF13" s="1">
        <f t="shared" si="6"/>
        <v>0</v>
      </c>
      <c r="CG13" s="1">
        <f t="shared" si="6"/>
        <v>0</v>
      </c>
      <c r="CH13" s="1">
        <f t="shared" si="6"/>
        <v>0</v>
      </c>
      <c r="CI13" s="1">
        <f t="shared" si="6"/>
        <v>0</v>
      </c>
      <c r="CJ13" s="1">
        <f t="shared" si="6"/>
        <v>0</v>
      </c>
      <c r="CK13" s="1">
        <f t="shared" si="6"/>
        <v>0</v>
      </c>
      <c r="CL13" s="1">
        <f t="shared" si="6"/>
        <v>0</v>
      </c>
      <c r="CM13" s="1">
        <f t="shared" si="6"/>
        <v>0</v>
      </c>
      <c r="CN13" s="1">
        <f t="shared" si="6"/>
        <v>0</v>
      </c>
      <c r="CO13" s="1">
        <f t="shared" si="6"/>
        <v>0</v>
      </c>
      <c r="CP13" s="1">
        <f t="shared" si="6"/>
        <v>0</v>
      </c>
      <c r="CQ13" s="1">
        <f t="shared" si="6"/>
        <v>0</v>
      </c>
      <c r="CR13" s="1">
        <f t="shared" si="6"/>
        <v>0</v>
      </c>
      <c r="CS13" s="1">
        <f t="shared" si="6"/>
        <v>0</v>
      </c>
      <c r="CT13" s="1">
        <f t="shared" ref="CT13:DG13" si="7">IF(MOD(COLUMN(),2)=0,IF(AND(COUNTIF(CT$3:CT$7,$AH$26),COUNTIF(CT$3:CT$7,$AJ27)),1,0),0)</f>
        <v>0</v>
      </c>
      <c r="CU13" s="1">
        <f t="shared" si="7"/>
        <v>0</v>
      </c>
      <c r="CV13" s="1">
        <f t="shared" si="7"/>
        <v>0</v>
      </c>
      <c r="CW13" s="1">
        <f t="shared" si="7"/>
        <v>0</v>
      </c>
      <c r="CX13" s="1">
        <f t="shared" si="7"/>
        <v>0</v>
      </c>
      <c r="CY13" s="1">
        <f t="shared" si="7"/>
        <v>0</v>
      </c>
      <c r="CZ13" s="1">
        <f t="shared" si="7"/>
        <v>0</v>
      </c>
      <c r="DA13" s="1">
        <f t="shared" si="7"/>
        <v>0</v>
      </c>
      <c r="DB13" s="1">
        <f t="shared" si="7"/>
        <v>0</v>
      </c>
      <c r="DC13" s="1">
        <f t="shared" si="7"/>
        <v>0</v>
      </c>
      <c r="DD13" s="1">
        <f t="shared" si="7"/>
        <v>0</v>
      </c>
      <c r="DE13" s="1">
        <f t="shared" si="7"/>
        <v>0</v>
      </c>
      <c r="DF13" s="1">
        <f t="shared" si="7"/>
        <v>0</v>
      </c>
      <c r="DG13" s="1">
        <f t="shared" si="7"/>
        <v>0</v>
      </c>
    </row>
    <row r="14" spans="1:111" s="20" customFormat="1" ht="7.5" hidden="1" customHeight="1" x14ac:dyDescent="0.3">
      <c r="B14" s="1">
        <f t="shared" ref="B14:AG14" si="8">IF(MOD(COLUMN(),2)=0,IF(AND(COUNTIF(B$3:B$7,$AH$26),COUNTIF(B$3:B$7,$AJ29)),1,0),0)</f>
        <v>0</v>
      </c>
      <c r="C14" s="1">
        <f t="shared" si="8"/>
        <v>0</v>
      </c>
      <c r="D14" s="1">
        <f t="shared" si="8"/>
        <v>0</v>
      </c>
      <c r="E14" s="1">
        <f t="shared" si="8"/>
        <v>0</v>
      </c>
      <c r="F14" s="1">
        <f t="shared" si="8"/>
        <v>0</v>
      </c>
      <c r="G14" s="1">
        <f t="shared" si="8"/>
        <v>0</v>
      </c>
      <c r="H14" s="1">
        <f t="shared" si="8"/>
        <v>0</v>
      </c>
      <c r="I14" s="1">
        <f t="shared" si="8"/>
        <v>0</v>
      </c>
      <c r="J14" s="1">
        <f t="shared" si="8"/>
        <v>0</v>
      </c>
      <c r="K14" s="1">
        <f t="shared" si="8"/>
        <v>0</v>
      </c>
      <c r="L14" s="1">
        <f t="shared" si="8"/>
        <v>0</v>
      </c>
      <c r="M14" s="1">
        <f t="shared" si="8"/>
        <v>0</v>
      </c>
      <c r="N14" s="1">
        <f t="shared" si="8"/>
        <v>0</v>
      </c>
      <c r="O14" s="1">
        <f t="shared" si="8"/>
        <v>0</v>
      </c>
      <c r="P14" s="1">
        <f t="shared" si="8"/>
        <v>0</v>
      </c>
      <c r="Q14" s="1">
        <f t="shared" si="8"/>
        <v>0</v>
      </c>
      <c r="R14" s="1">
        <f t="shared" si="8"/>
        <v>0</v>
      </c>
      <c r="S14" s="1">
        <f t="shared" si="8"/>
        <v>0</v>
      </c>
      <c r="T14" s="1">
        <f t="shared" si="8"/>
        <v>0</v>
      </c>
      <c r="U14" s="1">
        <f t="shared" si="8"/>
        <v>0</v>
      </c>
      <c r="V14" s="1">
        <f t="shared" si="8"/>
        <v>0</v>
      </c>
      <c r="W14" s="1">
        <f t="shared" si="8"/>
        <v>0</v>
      </c>
      <c r="X14" s="1">
        <f t="shared" si="8"/>
        <v>0</v>
      </c>
      <c r="Y14" s="1">
        <f t="shared" si="8"/>
        <v>0</v>
      </c>
      <c r="Z14" s="1">
        <f t="shared" si="8"/>
        <v>0</v>
      </c>
      <c r="AA14" s="1">
        <f t="shared" si="8"/>
        <v>0</v>
      </c>
      <c r="AB14" s="1">
        <f t="shared" si="8"/>
        <v>0</v>
      </c>
      <c r="AC14" s="1">
        <f t="shared" si="8"/>
        <v>0</v>
      </c>
      <c r="AD14" s="1">
        <f t="shared" si="8"/>
        <v>0</v>
      </c>
      <c r="AE14" s="1">
        <f t="shared" si="8"/>
        <v>0</v>
      </c>
      <c r="AF14" s="1">
        <f t="shared" si="8"/>
        <v>0</v>
      </c>
      <c r="AG14" s="1">
        <f t="shared" si="8"/>
        <v>0</v>
      </c>
      <c r="AH14" s="1">
        <f t="shared" ref="AH14:BM14" si="9">IF(MOD(COLUMN(),2)=0,IF(AND(COUNTIF(AH$3:AH$7,$AH$26),COUNTIF(AH$3:AH$7,$AJ29)),1,0),0)</f>
        <v>0</v>
      </c>
      <c r="AI14" s="1">
        <f t="shared" si="9"/>
        <v>0</v>
      </c>
      <c r="AJ14" s="1">
        <f t="shared" si="9"/>
        <v>0</v>
      </c>
      <c r="AK14" s="1">
        <f t="shared" si="9"/>
        <v>0</v>
      </c>
      <c r="AL14" s="1">
        <f t="shared" si="9"/>
        <v>0</v>
      </c>
      <c r="AM14" s="1">
        <f t="shared" si="9"/>
        <v>0</v>
      </c>
      <c r="AN14" s="1">
        <f t="shared" si="9"/>
        <v>0</v>
      </c>
      <c r="AO14" s="1">
        <f t="shared" si="9"/>
        <v>0</v>
      </c>
      <c r="AP14" s="1">
        <f t="shared" si="9"/>
        <v>0</v>
      </c>
      <c r="AQ14" s="1">
        <f t="shared" si="9"/>
        <v>0</v>
      </c>
      <c r="AR14" s="1">
        <f t="shared" si="9"/>
        <v>0</v>
      </c>
      <c r="AS14" s="1">
        <f t="shared" si="9"/>
        <v>0</v>
      </c>
      <c r="AT14" s="1">
        <f t="shared" si="9"/>
        <v>0</v>
      </c>
      <c r="AU14" s="1">
        <f t="shared" si="9"/>
        <v>0</v>
      </c>
      <c r="AV14" s="1">
        <f t="shared" si="9"/>
        <v>0</v>
      </c>
      <c r="AW14" s="1">
        <f t="shared" si="9"/>
        <v>0</v>
      </c>
      <c r="AX14" s="1">
        <f t="shared" si="9"/>
        <v>0</v>
      </c>
      <c r="AY14" s="1">
        <f t="shared" si="9"/>
        <v>0</v>
      </c>
      <c r="AZ14" s="1">
        <f t="shared" si="9"/>
        <v>0</v>
      </c>
      <c r="BA14" s="1">
        <f t="shared" si="9"/>
        <v>0</v>
      </c>
      <c r="BB14" s="1">
        <f t="shared" si="9"/>
        <v>0</v>
      </c>
      <c r="BC14" s="1">
        <f t="shared" si="9"/>
        <v>0</v>
      </c>
      <c r="BD14" s="1">
        <f t="shared" si="9"/>
        <v>0</v>
      </c>
      <c r="BE14" s="1">
        <f t="shared" si="9"/>
        <v>0</v>
      </c>
      <c r="BF14" s="1">
        <f t="shared" si="9"/>
        <v>0</v>
      </c>
      <c r="BG14" s="1">
        <f t="shared" si="9"/>
        <v>0</v>
      </c>
      <c r="BH14" s="1">
        <f t="shared" si="9"/>
        <v>0</v>
      </c>
      <c r="BI14" s="1">
        <f t="shared" si="9"/>
        <v>0</v>
      </c>
      <c r="BJ14" s="1">
        <f t="shared" si="9"/>
        <v>0</v>
      </c>
      <c r="BK14" s="1">
        <f t="shared" si="9"/>
        <v>0</v>
      </c>
      <c r="BL14" s="1">
        <f t="shared" si="9"/>
        <v>0</v>
      </c>
      <c r="BM14" s="1">
        <f t="shared" si="9"/>
        <v>0</v>
      </c>
      <c r="BN14" s="1">
        <f t="shared" ref="BN14:CS14" si="10">IF(MOD(COLUMN(),2)=0,IF(AND(COUNTIF(BN$3:BN$7,$AH$26),COUNTIF(BN$3:BN$7,$AJ29)),1,0),0)</f>
        <v>0</v>
      </c>
      <c r="BO14" s="1">
        <f t="shared" si="10"/>
        <v>0</v>
      </c>
      <c r="BP14" s="1">
        <f t="shared" si="10"/>
        <v>0</v>
      </c>
      <c r="BQ14" s="1">
        <f t="shared" si="10"/>
        <v>0</v>
      </c>
      <c r="BR14" s="1">
        <f t="shared" si="10"/>
        <v>0</v>
      </c>
      <c r="BS14" s="1">
        <f t="shared" si="10"/>
        <v>0</v>
      </c>
      <c r="BT14" s="1">
        <f t="shared" si="10"/>
        <v>0</v>
      </c>
      <c r="BU14" s="1">
        <f t="shared" si="10"/>
        <v>0</v>
      </c>
      <c r="BV14" s="1">
        <f t="shared" si="10"/>
        <v>0</v>
      </c>
      <c r="BW14" s="1">
        <f t="shared" si="10"/>
        <v>0</v>
      </c>
      <c r="BX14" s="1">
        <f t="shared" si="10"/>
        <v>0</v>
      </c>
      <c r="BY14" s="1">
        <f t="shared" si="10"/>
        <v>0</v>
      </c>
      <c r="BZ14" s="1">
        <f t="shared" si="10"/>
        <v>0</v>
      </c>
      <c r="CA14" s="1">
        <f t="shared" si="10"/>
        <v>0</v>
      </c>
      <c r="CB14" s="1">
        <f t="shared" si="10"/>
        <v>0</v>
      </c>
      <c r="CC14" s="1">
        <f t="shared" si="10"/>
        <v>0</v>
      </c>
      <c r="CD14" s="1">
        <f t="shared" si="10"/>
        <v>0</v>
      </c>
      <c r="CE14" s="1">
        <f t="shared" si="10"/>
        <v>0</v>
      </c>
      <c r="CF14" s="1">
        <f t="shared" si="10"/>
        <v>0</v>
      </c>
      <c r="CG14" s="1">
        <f t="shared" si="10"/>
        <v>0</v>
      </c>
      <c r="CH14" s="1">
        <f t="shared" si="10"/>
        <v>0</v>
      </c>
      <c r="CI14" s="1">
        <f t="shared" si="10"/>
        <v>0</v>
      </c>
      <c r="CJ14" s="1">
        <f t="shared" si="10"/>
        <v>0</v>
      </c>
      <c r="CK14" s="1">
        <f t="shared" si="10"/>
        <v>0</v>
      </c>
      <c r="CL14" s="1">
        <f t="shared" si="10"/>
        <v>0</v>
      </c>
      <c r="CM14" s="1">
        <f t="shared" si="10"/>
        <v>0</v>
      </c>
      <c r="CN14" s="1">
        <f t="shared" si="10"/>
        <v>0</v>
      </c>
      <c r="CO14" s="1">
        <f t="shared" si="10"/>
        <v>0</v>
      </c>
      <c r="CP14" s="1">
        <f t="shared" si="10"/>
        <v>0</v>
      </c>
      <c r="CQ14" s="1">
        <f t="shared" si="10"/>
        <v>0</v>
      </c>
      <c r="CR14" s="1">
        <f t="shared" si="10"/>
        <v>0</v>
      </c>
      <c r="CS14" s="1">
        <f t="shared" si="10"/>
        <v>0</v>
      </c>
      <c r="CT14" s="1">
        <f t="shared" ref="CT14:DG14" si="11">IF(MOD(COLUMN(),2)=0,IF(AND(COUNTIF(CT$3:CT$7,$AH$26),COUNTIF(CT$3:CT$7,$AJ29)),1,0),0)</f>
        <v>0</v>
      </c>
      <c r="CU14" s="1">
        <f t="shared" si="11"/>
        <v>0</v>
      </c>
      <c r="CV14" s="1">
        <f t="shared" si="11"/>
        <v>0</v>
      </c>
      <c r="CW14" s="1">
        <f t="shared" si="11"/>
        <v>0</v>
      </c>
      <c r="CX14" s="1">
        <f t="shared" si="11"/>
        <v>0</v>
      </c>
      <c r="CY14" s="1">
        <f t="shared" si="11"/>
        <v>0</v>
      </c>
      <c r="CZ14" s="1">
        <f t="shared" si="11"/>
        <v>0</v>
      </c>
      <c r="DA14" s="1">
        <f t="shared" si="11"/>
        <v>0</v>
      </c>
      <c r="DB14" s="1">
        <f t="shared" si="11"/>
        <v>0</v>
      </c>
      <c r="DC14" s="1">
        <f t="shared" si="11"/>
        <v>0</v>
      </c>
      <c r="DD14" s="1">
        <f t="shared" si="11"/>
        <v>0</v>
      </c>
      <c r="DE14" s="1">
        <f t="shared" si="11"/>
        <v>0</v>
      </c>
      <c r="DF14" s="1">
        <f t="shared" si="11"/>
        <v>0</v>
      </c>
      <c r="DG14" s="1">
        <f t="shared" si="11"/>
        <v>0</v>
      </c>
    </row>
    <row r="15" spans="1:111" s="20" customFormat="1" ht="7.5" hidden="1" customHeight="1" x14ac:dyDescent="0.3">
      <c r="B15" s="1">
        <f t="shared" ref="B15:AG15" si="12">IF(MOD(COLUMN(),2)=0,IF(AND(COUNTIF(B$3:B$7,$AH$26),COUNTIF(B$3:B$7,$AJ30)),1,0),0)</f>
        <v>0</v>
      </c>
      <c r="C15" s="1">
        <f t="shared" si="12"/>
        <v>0</v>
      </c>
      <c r="D15" s="1">
        <f t="shared" si="12"/>
        <v>0</v>
      </c>
      <c r="E15" s="1">
        <f t="shared" si="12"/>
        <v>0</v>
      </c>
      <c r="F15" s="1">
        <f t="shared" si="12"/>
        <v>0</v>
      </c>
      <c r="G15" s="1">
        <f t="shared" si="12"/>
        <v>0</v>
      </c>
      <c r="H15" s="1">
        <f t="shared" si="12"/>
        <v>0</v>
      </c>
      <c r="I15" s="1">
        <f t="shared" si="12"/>
        <v>0</v>
      </c>
      <c r="J15" s="1">
        <f t="shared" si="12"/>
        <v>0</v>
      </c>
      <c r="K15" s="1">
        <f t="shared" si="12"/>
        <v>0</v>
      </c>
      <c r="L15" s="1">
        <f t="shared" si="12"/>
        <v>0</v>
      </c>
      <c r="M15" s="1">
        <f t="shared" si="12"/>
        <v>0</v>
      </c>
      <c r="N15" s="1">
        <f t="shared" si="12"/>
        <v>0</v>
      </c>
      <c r="O15" s="1">
        <f t="shared" si="12"/>
        <v>0</v>
      </c>
      <c r="P15" s="1">
        <f t="shared" si="12"/>
        <v>0</v>
      </c>
      <c r="Q15" s="1">
        <f t="shared" si="12"/>
        <v>0</v>
      </c>
      <c r="R15" s="1">
        <f t="shared" si="12"/>
        <v>0</v>
      </c>
      <c r="S15" s="1">
        <f t="shared" si="12"/>
        <v>0</v>
      </c>
      <c r="T15" s="1">
        <f t="shared" si="12"/>
        <v>0</v>
      </c>
      <c r="U15" s="1">
        <f t="shared" si="12"/>
        <v>0</v>
      </c>
      <c r="V15" s="1">
        <f t="shared" si="12"/>
        <v>0</v>
      </c>
      <c r="W15" s="1">
        <f t="shared" si="12"/>
        <v>0</v>
      </c>
      <c r="X15" s="1">
        <f t="shared" si="12"/>
        <v>0</v>
      </c>
      <c r="Y15" s="1">
        <f t="shared" si="12"/>
        <v>0</v>
      </c>
      <c r="Z15" s="1">
        <f t="shared" si="12"/>
        <v>0</v>
      </c>
      <c r="AA15" s="1">
        <f t="shared" si="12"/>
        <v>0</v>
      </c>
      <c r="AB15" s="1">
        <f t="shared" si="12"/>
        <v>0</v>
      </c>
      <c r="AC15" s="1">
        <f t="shared" si="12"/>
        <v>0</v>
      </c>
      <c r="AD15" s="1">
        <f t="shared" si="12"/>
        <v>0</v>
      </c>
      <c r="AE15" s="1">
        <f t="shared" si="12"/>
        <v>0</v>
      </c>
      <c r="AF15" s="1">
        <f t="shared" si="12"/>
        <v>0</v>
      </c>
      <c r="AG15" s="1">
        <f t="shared" si="12"/>
        <v>0</v>
      </c>
      <c r="AH15" s="1">
        <f t="shared" ref="AH15:BM15" si="13">IF(MOD(COLUMN(),2)=0,IF(AND(COUNTIF(AH$3:AH$7,$AH$26),COUNTIF(AH$3:AH$7,$AJ30)),1,0),0)</f>
        <v>0</v>
      </c>
      <c r="AI15" s="1">
        <f t="shared" si="13"/>
        <v>0</v>
      </c>
      <c r="AJ15" s="1">
        <f t="shared" si="13"/>
        <v>0</v>
      </c>
      <c r="AK15" s="1">
        <f t="shared" si="13"/>
        <v>0</v>
      </c>
      <c r="AL15" s="1">
        <f t="shared" si="13"/>
        <v>0</v>
      </c>
      <c r="AM15" s="1">
        <f t="shared" si="13"/>
        <v>0</v>
      </c>
      <c r="AN15" s="1">
        <f t="shared" si="13"/>
        <v>0</v>
      </c>
      <c r="AO15" s="1">
        <f t="shared" si="13"/>
        <v>0</v>
      </c>
      <c r="AP15" s="1">
        <f t="shared" si="13"/>
        <v>0</v>
      </c>
      <c r="AQ15" s="1">
        <f t="shared" si="13"/>
        <v>0</v>
      </c>
      <c r="AR15" s="1">
        <f t="shared" si="13"/>
        <v>0</v>
      </c>
      <c r="AS15" s="1">
        <f t="shared" si="13"/>
        <v>0</v>
      </c>
      <c r="AT15" s="1">
        <f t="shared" si="13"/>
        <v>0</v>
      </c>
      <c r="AU15" s="1">
        <f t="shared" si="13"/>
        <v>0</v>
      </c>
      <c r="AV15" s="1">
        <f t="shared" si="13"/>
        <v>0</v>
      </c>
      <c r="AW15" s="1">
        <f t="shared" si="13"/>
        <v>0</v>
      </c>
      <c r="AX15" s="1">
        <f t="shared" si="13"/>
        <v>0</v>
      </c>
      <c r="AY15" s="1">
        <f t="shared" si="13"/>
        <v>0</v>
      </c>
      <c r="AZ15" s="1">
        <f t="shared" si="13"/>
        <v>0</v>
      </c>
      <c r="BA15" s="1">
        <f t="shared" si="13"/>
        <v>0</v>
      </c>
      <c r="BB15" s="1">
        <f t="shared" si="13"/>
        <v>0</v>
      </c>
      <c r="BC15" s="1">
        <f t="shared" si="13"/>
        <v>0</v>
      </c>
      <c r="BD15" s="1">
        <f t="shared" si="13"/>
        <v>0</v>
      </c>
      <c r="BE15" s="1">
        <f t="shared" si="13"/>
        <v>0</v>
      </c>
      <c r="BF15" s="1">
        <f t="shared" si="13"/>
        <v>0</v>
      </c>
      <c r="BG15" s="1">
        <f t="shared" si="13"/>
        <v>0</v>
      </c>
      <c r="BH15" s="1">
        <f t="shared" si="13"/>
        <v>0</v>
      </c>
      <c r="BI15" s="1">
        <f t="shared" si="13"/>
        <v>0</v>
      </c>
      <c r="BJ15" s="1">
        <f t="shared" si="13"/>
        <v>0</v>
      </c>
      <c r="BK15" s="1">
        <f t="shared" si="13"/>
        <v>0</v>
      </c>
      <c r="BL15" s="1">
        <f t="shared" si="13"/>
        <v>0</v>
      </c>
      <c r="BM15" s="1">
        <f t="shared" si="13"/>
        <v>0</v>
      </c>
      <c r="BN15" s="1">
        <f t="shared" ref="BN15:CS15" si="14">IF(MOD(COLUMN(),2)=0,IF(AND(COUNTIF(BN$3:BN$7,$AH$26),COUNTIF(BN$3:BN$7,$AJ30)),1,0),0)</f>
        <v>0</v>
      </c>
      <c r="BO15" s="1">
        <f t="shared" si="14"/>
        <v>0</v>
      </c>
      <c r="BP15" s="1">
        <f t="shared" si="14"/>
        <v>0</v>
      </c>
      <c r="BQ15" s="1">
        <f t="shared" si="14"/>
        <v>0</v>
      </c>
      <c r="BR15" s="1">
        <f t="shared" si="14"/>
        <v>0</v>
      </c>
      <c r="BS15" s="1">
        <f t="shared" si="14"/>
        <v>0</v>
      </c>
      <c r="BT15" s="1">
        <f t="shared" si="14"/>
        <v>0</v>
      </c>
      <c r="BU15" s="1">
        <f t="shared" si="14"/>
        <v>0</v>
      </c>
      <c r="BV15" s="1">
        <f t="shared" si="14"/>
        <v>0</v>
      </c>
      <c r="BW15" s="1">
        <f t="shared" si="14"/>
        <v>0</v>
      </c>
      <c r="BX15" s="1">
        <f t="shared" si="14"/>
        <v>0</v>
      </c>
      <c r="BY15" s="1">
        <f t="shared" si="14"/>
        <v>0</v>
      </c>
      <c r="BZ15" s="1">
        <f t="shared" si="14"/>
        <v>0</v>
      </c>
      <c r="CA15" s="1">
        <f t="shared" si="14"/>
        <v>0</v>
      </c>
      <c r="CB15" s="1">
        <f t="shared" si="14"/>
        <v>0</v>
      </c>
      <c r="CC15" s="1">
        <f t="shared" si="14"/>
        <v>0</v>
      </c>
      <c r="CD15" s="1">
        <f t="shared" si="14"/>
        <v>0</v>
      </c>
      <c r="CE15" s="1">
        <f t="shared" si="14"/>
        <v>0</v>
      </c>
      <c r="CF15" s="1">
        <f t="shared" si="14"/>
        <v>0</v>
      </c>
      <c r="CG15" s="1">
        <f t="shared" si="14"/>
        <v>0</v>
      </c>
      <c r="CH15" s="1">
        <f t="shared" si="14"/>
        <v>0</v>
      </c>
      <c r="CI15" s="1">
        <f t="shared" si="14"/>
        <v>0</v>
      </c>
      <c r="CJ15" s="1">
        <f t="shared" si="14"/>
        <v>0</v>
      </c>
      <c r="CK15" s="1">
        <f t="shared" si="14"/>
        <v>0</v>
      </c>
      <c r="CL15" s="1">
        <f t="shared" si="14"/>
        <v>0</v>
      </c>
      <c r="CM15" s="1">
        <f t="shared" si="14"/>
        <v>0</v>
      </c>
      <c r="CN15" s="1">
        <f t="shared" si="14"/>
        <v>0</v>
      </c>
      <c r="CO15" s="1">
        <f t="shared" si="14"/>
        <v>0</v>
      </c>
      <c r="CP15" s="1">
        <f t="shared" si="14"/>
        <v>0</v>
      </c>
      <c r="CQ15" s="1">
        <f t="shared" si="14"/>
        <v>0</v>
      </c>
      <c r="CR15" s="1">
        <f t="shared" si="14"/>
        <v>0</v>
      </c>
      <c r="CS15" s="1">
        <f t="shared" si="14"/>
        <v>0</v>
      </c>
      <c r="CT15" s="1">
        <f t="shared" ref="CT15:DG15" si="15">IF(MOD(COLUMN(),2)=0,IF(AND(COUNTIF(CT$3:CT$7,$AH$26),COUNTIF(CT$3:CT$7,$AJ30)),1,0),0)</f>
        <v>0</v>
      </c>
      <c r="CU15" s="1">
        <f t="shared" si="15"/>
        <v>0</v>
      </c>
      <c r="CV15" s="1">
        <f t="shared" si="15"/>
        <v>0</v>
      </c>
      <c r="CW15" s="1">
        <f t="shared" si="15"/>
        <v>0</v>
      </c>
      <c r="CX15" s="1">
        <f t="shared" si="15"/>
        <v>0</v>
      </c>
      <c r="CY15" s="1">
        <f t="shared" si="15"/>
        <v>0</v>
      </c>
      <c r="CZ15" s="1">
        <f t="shared" si="15"/>
        <v>0</v>
      </c>
      <c r="DA15" s="1">
        <f t="shared" si="15"/>
        <v>0</v>
      </c>
      <c r="DB15" s="1">
        <f t="shared" si="15"/>
        <v>0</v>
      </c>
      <c r="DC15" s="1">
        <f t="shared" si="15"/>
        <v>0</v>
      </c>
      <c r="DD15" s="1">
        <f t="shared" si="15"/>
        <v>0</v>
      </c>
      <c r="DE15" s="1">
        <f t="shared" si="15"/>
        <v>0</v>
      </c>
      <c r="DF15" s="1">
        <f t="shared" si="15"/>
        <v>0</v>
      </c>
      <c r="DG15" s="1">
        <f t="shared" si="15"/>
        <v>0</v>
      </c>
    </row>
    <row r="16" spans="1:111" s="20" customFormat="1" ht="7.5" hidden="1" customHeight="1" x14ac:dyDescent="0.3">
      <c r="B16" s="1">
        <f t="shared" ref="B16:AG16" si="16">IF(MOD(COLUMN(),2)=0,IF(AND(COUNTIF(B$3:B$7,$AH$26),COUNTIF(B$3:B$7,$AJ31)),1,0),0)</f>
        <v>0</v>
      </c>
      <c r="C16" s="1">
        <f t="shared" si="16"/>
        <v>0</v>
      </c>
      <c r="D16" s="1">
        <f t="shared" si="16"/>
        <v>0</v>
      </c>
      <c r="E16" s="1">
        <f t="shared" si="16"/>
        <v>0</v>
      </c>
      <c r="F16" s="1">
        <f t="shared" si="16"/>
        <v>0</v>
      </c>
      <c r="G16" s="1">
        <f t="shared" si="16"/>
        <v>0</v>
      </c>
      <c r="H16" s="1">
        <f t="shared" si="16"/>
        <v>0</v>
      </c>
      <c r="I16" s="1">
        <f t="shared" si="16"/>
        <v>0</v>
      </c>
      <c r="J16" s="1">
        <f t="shared" si="16"/>
        <v>0</v>
      </c>
      <c r="K16" s="1">
        <f t="shared" si="16"/>
        <v>0</v>
      </c>
      <c r="L16" s="1">
        <f t="shared" si="16"/>
        <v>0</v>
      </c>
      <c r="M16" s="1">
        <f t="shared" si="16"/>
        <v>0</v>
      </c>
      <c r="N16" s="1">
        <f t="shared" si="16"/>
        <v>0</v>
      </c>
      <c r="O16" s="1">
        <f t="shared" si="16"/>
        <v>0</v>
      </c>
      <c r="P16" s="1">
        <f t="shared" si="16"/>
        <v>0</v>
      </c>
      <c r="Q16" s="1">
        <f t="shared" si="16"/>
        <v>0</v>
      </c>
      <c r="R16" s="1">
        <f t="shared" si="16"/>
        <v>0</v>
      </c>
      <c r="S16" s="1">
        <f t="shared" si="16"/>
        <v>0</v>
      </c>
      <c r="T16" s="1">
        <f t="shared" si="16"/>
        <v>0</v>
      </c>
      <c r="U16" s="1">
        <f t="shared" si="16"/>
        <v>0</v>
      </c>
      <c r="V16" s="1">
        <f t="shared" si="16"/>
        <v>0</v>
      </c>
      <c r="W16" s="1">
        <f t="shared" si="16"/>
        <v>0</v>
      </c>
      <c r="X16" s="1">
        <f t="shared" si="16"/>
        <v>0</v>
      </c>
      <c r="Y16" s="1">
        <f t="shared" si="16"/>
        <v>0</v>
      </c>
      <c r="Z16" s="1">
        <f t="shared" si="16"/>
        <v>0</v>
      </c>
      <c r="AA16" s="1">
        <f t="shared" si="16"/>
        <v>0</v>
      </c>
      <c r="AB16" s="1">
        <f t="shared" si="16"/>
        <v>0</v>
      </c>
      <c r="AC16" s="1">
        <f t="shared" si="16"/>
        <v>0</v>
      </c>
      <c r="AD16" s="1">
        <f t="shared" si="16"/>
        <v>0</v>
      </c>
      <c r="AE16" s="1">
        <f t="shared" si="16"/>
        <v>0</v>
      </c>
      <c r="AF16" s="1">
        <f t="shared" si="16"/>
        <v>0</v>
      </c>
      <c r="AG16" s="1">
        <f t="shared" si="16"/>
        <v>0</v>
      </c>
      <c r="AH16" s="1">
        <f t="shared" ref="AH16:BM16" si="17">IF(MOD(COLUMN(),2)=0,IF(AND(COUNTIF(AH$3:AH$7,$AH$26),COUNTIF(AH$3:AH$7,$AJ31)),1,0),0)</f>
        <v>0</v>
      </c>
      <c r="AI16" s="1">
        <f t="shared" si="17"/>
        <v>0</v>
      </c>
      <c r="AJ16" s="1">
        <f t="shared" si="17"/>
        <v>0</v>
      </c>
      <c r="AK16" s="1">
        <f t="shared" si="17"/>
        <v>0</v>
      </c>
      <c r="AL16" s="1">
        <f t="shared" si="17"/>
        <v>0</v>
      </c>
      <c r="AM16" s="1">
        <f t="shared" si="17"/>
        <v>0</v>
      </c>
      <c r="AN16" s="1">
        <f t="shared" si="17"/>
        <v>0</v>
      </c>
      <c r="AO16" s="1">
        <f t="shared" si="17"/>
        <v>0</v>
      </c>
      <c r="AP16" s="1">
        <f t="shared" si="17"/>
        <v>0</v>
      </c>
      <c r="AQ16" s="1">
        <f t="shared" si="17"/>
        <v>0</v>
      </c>
      <c r="AR16" s="1">
        <f t="shared" si="17"/>
        <v>0</v>
      </c>
      <c r="AS16" s="1">
        <f t="shared" si="17"/>
        <v>0</v>
      </c>
      <c r="AT16" s="1">
        <f t="shared" si="17"/>
        <v>0</v>
      </c>
      <c r="AU16" s="1">
        <f t="shared" si="17"/>
        <v>0</v>
      </c>
      <c r="AV16" s="1">
        <f t="shared" si="17"/>
        <v>0</v>
      </c>
      <c r="AW16" s="1">
        <f t="shared" si="17"/>
        <v>0</v>
      </c>
      <c r="AX16" s="1">
        <f t="shared" si="17"/>
        <v>0</v>
      </c>
      <c r="AY16" s="1">
        <f t="shared" si="17"/>
        <v>0</v>
      </c>
      <c r="AZ16" s="1">
        <f t="shared" si="17"/>
        <v>0</v>
      </c>
      <c r="BA16" s="1">
        <f t="shared" si="17"/>
        <v>0</v>
      </c>
      <c r="BB16" s="1">
        <f t="shared" si="17"/>
        <v>0</v>
      </c>
      <c r="BC16" s="1">
        <f t="shared" si="17"/>
        <v>0</v>
      </c>
      <c r="BD16" s="1">
        <f t="shared" si="17"/>
        <v>0</v>
      </c>
      <c r="BE16" s="1">
        <f t="shared" si="17"/>
        <v>0</v>
      </c>
      <c r="BF16" s="1">
        <f t="shared" si="17"/>
        <v>0</v>
      </c>
      <c r="BG16" s="1">
        <f t="shared" si="17"/>
        <v>0</v>
      </c>
      <c r="BH16" s="1">
        <f t="shared" si="17"/>
        <v>0</v>
      </c>
      <c r="BI16" s="1">
        <f t="shared" si="17"/>
        <v>0</v>
      </c>
      <c r="BJ16" s="1">
        <f t="shared" si="17"/>
        <v>0</v>
      </c>
      <c r="BK16" s="1">
        <f t="shared" si="17"/>
        <v>0</v>
      </c>
      <c r="BL16" s="1">
        <f t="shared" si="17"/>
        <v>0</v>
      </c>
      <c r="BM16" s="1">
        <f t="shared" si="17"/>
        <v>0</v>
      </c>
      <c r="BN16" s="1">
        <f t="shared" ref="BN16:CS16" si="18">IF(MOD(COLUMN(),2)=0,IF(AND(COUNTIF(BN$3:BN$7,$AH$26),COUNTIF(BN$3:BN$7,$AJ31)),1,0),0)</f>
        <v>0</v>
      </c>
      <c r="BO16" s="1">
        <f t="shared" si="18"/>
        <v>0</v>
      </c>
      <c r="BP16" s="1">
        <f t="shared" si="18"/>
        <v>0</v>
      </c>
      <c r="BQ16" s="1">
        <f t="shared" si="18"/>
        <v>0</v>
      </c>
      <c r="BR16" s="1">
        <f t="shared" si="18"/>
        <v>0</v>
      </c>
      <c r="BS16" s="1">
        <f t="shared" si="18"/>
        <v>0</v>
      </c>
      <c r="BT16" s="1">
        <f t="shared" si="18"/>
        <v>0</v>
      </c>
      <c r="BU16" s="1">
        <f t="shared" si="18"/>
        <v>0</v>
      </c>
      <c r="BV16" s="1">
        <f t="shared" si="18"/>
        <v>0</v>
      </c>
      <c r="BW16" s="1">
        <f t="shared" si="18"/>
        <v>0</v>
      </c>
      <c r="BX16" s="1">
        <f t="shared" si="18"/>
        <v>0</v>
      </c>
      <c r="BY16" s="1">
        <f t="shared" si="18"/>
        <v>0</v>
      </c>
      <c r="BZ16" s="1">
        <f t="shared" si="18"/>
        <v>0</v>
      </c>
      <c r="CA16" s="1">
        <f t="shared" si="18"/>
        <v>0</v>
      </c>
      <c r="CB16" s="1">
        <f t="shared" si="18"/>
        <v>0</v>
      </c>
      <c r="CC16" s="1">
        <f t="shared" si="18"/>
        <v>0</v>
      </c>
      <c r="CD16" s="1">
        <f t="shared" si="18"/>
        <v>0</v>
      </c>
      <c r="CE16" s="1">
        <f t="shared" si="18"/>
        <v>0</v>
      </c>
      <c r="CF16" s="1">
        <f t="shared" si="18"/>
        <v>0</v>
      </c>
      <c r="CG16" s="1">
        <f t="shared" si="18"/>
        <v>0</v>
      </c>
      <c r="CH16" s="1">
        <f t="shared" si="18"/>
        <v>0</v>
      </c>
      <c r="CI16" s="1">
        <f t="shared" si="18"/>
        <v>0</v>
      </c>
      <c r="CJ16" s="1">
        <f t="shared" si="18"/>
        <v>0</v>
      </c>
      <c r="CK16" s="1">
        <f t="shared" si="18"/>
        <v>0</v>
      </c>
      <c r="CL16" s="1">
        <f t="shared" si="18"/>
        <v>0</v>
      </c>
      <c r="CM16" s="1">
        <f t="shared" si="18"/>
        <v>0</v>
      </c>
      <c r="CN16" s="1">
        <f t="shared" si="18"/>
        <v>0</v>
      </c>
      <c r="CO16" s="1">
        <f t="shared" si="18"/>
        <v>0</v>
      </c>
      <c r="CP16" s="1">
        <f t="shared" si="18"/>
        <v>0</v>
      </c>
      <c r="CQ16" s="1">
        <f t="shared" si="18"/>
        <v>0</v>
      </c>
      <c r="CR16" s="1">
        <f t="shared" si="18"/>
        <v>0</v>
      </c>
      <c r="CS16" s="1">
        <f t="shared" si="18"/>
        <v>0</v>
      </c>
      <c r="CT16" s="1">
        <f t="shared" ref="CT16:DG16" si="19">IF(MOD(COLUMN(),2)=0,IF(AND(COUNTIF(CT$3:CT$7,$AH$26),COUNTIF(CT$3:CT$7,$AJ31)),1,0),0)</f>
        <v>0</v>
      </c>
      <c r="CU16" s="1">
        <f t="shared" si="19"/>
        <v>0</v>
      </c>
      <c r="CV16" s="1">
        <f t="shared" si="19"/>
        <v>0</v>
      </c>
      <c r="CW16" s="1">
        <f t="shared" si="19"/>
        <v>0</v>
      </c>
      <c r="CX16" s="1">
        <f t="shared" si="19"/>
        <v>0</v>
      </c>
      <c r="CY16" s="1">
        <f t="shared" si="19"/>
        <v>0</v>
      </c>
      <c r="CZ16" s="1">
        <f t="shared" si="19"/>
        <v>0</v>
      </c>
      <c r="DA16" s="1">
        <f t="shared" si="19"/>
        <v>0</v>
      </c>
      <c r="DB16" s="1">
        <f t="shared" si="19"/>
        <v>0</v>
      </c>
      <c r="DC16" s="1">
        <f t="shared" si="19"/>
        <v>0</v>
      </c>
      <c r="DD16" s="1">
        <f t="shared" si="19"/>
        <v>0</v>
      </c>
      <c r="DE16" s="1">
        <f t="shared" si="19"/>
        <v>0</v>
      </c>
      <c r="DF16" s="1">
        <f t="shared" si="19"/>
        <v>0</v>
      </c>
      <c r="DG16" s="1">
        <f t="shared" si="19"/>
        <v>0</v>
      </c>
    </row>
    <row r="17" spans="1:111" s="20" customFormat="1" ht="7.5" hidden="1" customHeight="1" x14ac:dyDescent="0.3">
      <c r="B17" s="1">
        <f>IF(MOD(COLUMN(),2)=0,IF(AND(COUNTIF(B$3:B$7,$AH$26),COUNTIF(B$3:B$7,#REF!)),1,0),0)</f>
        <v>0</v>
      </c>
      <c r="C17" s="1">
        <f>IF(MOD(COLUMN(),2)=0,IF(AND(COUNTIF(C$3:C$7,$AH$26),COUNTIF(C$3:C$7,#REF!)),1,0),0)</f>
        <v>0</v>
      </c>
      <c r="D17" s="1">
        <f>IF(MOD(COLUMN(),2)=0,IF(AND(COUNTIF(D$3:D$7,$AH$26),COUNTIF(D$3:D$7,#REF!)),1,0),0)</f>
        <v>0</v>
      </c>
      <c r="E17" s="1">
        <f>IF(MOD(COLUMN(),2)=0,IF(AND(COUNTIF(E$3:E$7,$AH$26),COUNTIF(E$3:E$7,#REF!)),1,0),0)</f>
        <v>0</v>
      </c>
      <c r="F17" s="1">
        <f>IF(MOD(COLUMN(),2)=0,IF(AND(COUNTIF(F$3:F$7,$AH$26),COUNTIF(F$3:F$7,#REF!)),1,0),0)</f>
        <v>0</v>
      </c>
      <c r="G17" s="1">
        <f>IF(MOD(COLUMN(),2)=0,IF(AND(COUNTIF(G$3:G$7,$AH$26),COUNTIF(G$3:G$7,#REF!)),1,0),0)</f>
        <v>0</v>
      </c>
      <c r="H17" s="1">
        <f>IF(MOD(COLUMN(),2)=0,IF(AND(COUNTIF(H$3:H$7,$AH$26),COUNTIF(H$3:H$7,#REF!)),1,0),0)</f>
        <v>0</v>
      </c>
      <c r="I17" s="1">
        <f>IF(MOD(COLUMN(),2)=0,IF(AND(COUNTIF(I$3:I$7,$AH$26),COUNTIF(I$3:I$7,#REF!)),1,0),0)</f>
        <v>0</v>
      </c>
      <c r="J17" s="1">
        <f>IF(MOD(COLUMN(),2)=0,IF(AND(COUNTIF(J$3:J$7,$AH$26),COUNTIF(J$3:J$7,#REF!)),1,0),0)</f>
        <v>0</v>
      </c>
      <c r="K17" s="1">
        <f>IF(MOD(COLUMN(),2)=0,IF(AND(COUNTIF(K$3:K$7,$AH$26),COUNTIF(K$3:K$7,#REF!)),1,0),0)</f>
        <v>0</v>
      </c>
      <c r="L17" s="1">
        <f>IF(MOD(COLUMN(),2)=0,IF(AND(COUNTIF(L$3:L$7,$AH$26),COUNTIF(L$3:L$7,#REF!)),1,0),0)</f>
        <v>0</v>
      </c>
      <c r="M17" s="1">
        <f>IF(MOD(COLUMN(),2)=0,IF(AND(COUNTIF(M$3:M$7,$AH$26),COUNTIF(M$3:M$7,#REF!)),1,0),0)</f>
        <v>0</v>
      </c>
      <c r="N17" s="1">
        <f>IF(MOD(COLUMN(),2)=0,IF(AND(COUNTIF(N$3:N$7,$AH$26),COUNTIF(N$3:N$7,#REF!)),1,0),0)</f>
        <v>0</v>
      </c>
      <c r="O17" s="1">
        <f>IF(MOD(COLUMN(),2)=0,IF(AND(COUNTIF(O$3:O$7,$AH$26),COUNTIF(O$3:O$7,#REF!)),1,0),0)</f>
        <v>0</v>
      </c>
      <c r="P17" s="1">
        <f>IF(MOD(COLUMN(),2)=0,IF(AND(COUNTIF(P$3:P$7,$AH$26),COUNTIF(P$3:P$7,#REF!)),1,0),0)</f>
        <v>0</v>
      </c>
      <c r="Q17" s="1">
        <f>IF(MOD(COLUMN(),2)=0,IF(AND(COUNTIF(Q$3:Q$7,$AH$26),COUNTIF(Q$3:Q$7,#REF!)),1,0),0)</f>
        <v>0</v>
      </c>
      <c r="R17" s="1">
        <f>IF(MOD(COLUMN(),2)=0,IF(AND(COUNTIF(R$3:R$7,$AH$26),COUNTIF(R$3:R$7,#REF!)),1,0),0)</f>
        <v>0</v>
      </c>
      <c r="S17" s="1">
        <f>IF(MOD(COLUMN(),2)=0,IF(AND(COUNTIF(S$3:S$7,$AH$26),COUNTIF(S$3:S$7,#REF!)),1,0),0)</f>
        <v>0</v>
      </c>
      <c r="T17" s="1">
        <f>IF(MOD(COLUMN(),2)=0,IF(AND(COUNTIF(T$3:T$7,$AH$26),COUNTIF(T$3:T$7,#REF!)),1,0),0)</f>
        <v>0</v>
      </c>
      <c r="U17" s="1">
        <f>IF(MOD(COLUMN(),2)=0,IF(AND(COUNTIF(U$3:U$7,$AH$26),COUNTIF(U$3:U$7,#REF!)),1,0),0)</f>
        <v>0</v>
      </c>
      <c r="V17" s="1">
        <f>IF(MOD(COLUMN(),2)=0,IF(AND(COUNTIF(V$3:V$7,$AH$26),COUNTIF(V$3:V$7,#REF!)),1,0),0)</f>
        <v>0</v>
      </c>
      <c r="W17" s="1">
        <f>IF(MOD(COLUMN(),2)=0,IF(AND(COUNTIF(W$3:W$7,$AH$26),COUNTIF(W$3:W$7,#REF!)),1,0),0)</f>
        <v>0</v>
      </c>
      <c r="X17" s="1">
        <f>IF(MOD(COLUMN(),2)=0,IF(AND(COUNTIF(X$3:X$7,$AH$26),COUNTIF(X$3:X$7,#REF!)),1,0),0)</f>
        <v>0</v>
      </c>
      <c r="Y17" s="1">
        <f>IF(MOD(COLUMN(),2)=0,IF(AND(COUNTIF(Y$3:Y$7,$AH$26),COUNTIF(Y$3:Y$7,#REF!)),1,0),0)</f>
        <v>0</v>
      </c>
      <c r="Z17" s="1">
        <f>IF(MOD(COLUMN(),2)=0,IF(AND(COUNTIF(Z$3:Z$7,$AH$26),COUNTIF(Z$3:Z$7,#REF!)),1,0),0)</f>
        <v>0</v>
      </c>
      <c r="AA17" s="1">
        <f>IF(MOD(COLUMN(),2)=0,IF(AND(COUNTIF(AA$3:AA$7,$AH$26),COUNTIF(AA$3:AA$7,#REF!)),1,0),0)</f>
        <v>0</v>
      </c>
      <c r="AB17" s="1">
        <f>IF(MOD(COLUMN(),2)=0,IF(AND(COUNTIF(AB$3:AB$7,$AH$26),COUNTIF(AB$3:AB$7,#REF!)),1,0),0)</f>
        <v>0</v>
      </c>
      <c r="AC17" s="1">
        <f>IF(MOD(COLUMN(),2)=0,IF(AND(COUNTIF(AC$3:AC$7,$AH$26),COUNTIF(AC$3:AC$7,#REF!)),1,0),0)</f>
        <v>0</v>
      </c>
      <c r="AD17" s="1">
        <f>IF(MOD(COLUMN(),2)=0,IF(AND(COUNTIF(AD$3:AD$7,$AH$26),COUNTIF(AD$3:AD$7,#REF!)),1,0),0)</f>
        <v>0</v>
      </c>
      <c r="AE17" s="1">
        <f>IF(MOD(COLUMN(),2)=0,IF(AND(COUNTIF(AE$3:AE$7,$AH$26),COUNTIF(AE$3:AE$7,#REF!)),1,0),0)</f>
        <v>0</v>
      </c>
      <c r="AF17" s="1">
        <f>IF(MOD(COLUMN(),2)=0,IF(AND(COUNTIF(AF$3:AF$7,$AH$26),COUNTIF(AF$3:AF$7,#REF!)),1,0),0)</f>
        <v>0</v>
      </c>
      <c r="AG17" s="1">
        <f>IF(MOD(COLUMN(),2)=0,IF(AND(COUNTIF(AG$3:AG$7,$AH$26),COUNTIF(AG$3:AG$7,#REF!)),1,0),0)</f>
        <v>0</v>
      </c>
      <c r="AH17" s="1">
        <f>IF(MOD(COLUMN(),2)=0,IF(AND(COUNTIF(AH$3:AH$7,$AH$26),COUNTIF(AH$3:AH$7,#REF!)),1,0),0)</f>
        <v>0</v>
      </c>
      <c r="AI17" s="1">
        <f>IF(MOD(COLUMN(),2)=0,IF(AND(COUNTIF(AI$3:AI$7,$AH$26),COUNTIF(AI$3:AI$7,#REF!)),1,0),0)</f>
        <v>0</v>
      </c>
      <c r="AJ17" s="1">
        <f>IF(MOD(COLUMN(),2)=0,IF(AND(COUNTIF(AJ$3:AJ$7,$AH$26),COUNTIF(AJ$3:AJ$7,#REF!)),1,0),0)</f>
        <v>0</v>
      </c>
      <c r="AK17" s="1">
        <f>IF(MOD(COLUMN(),2)=0,IF(AND(COUNTIF(AK$3:AK$7,$AH$26),COUNTIF(AK$3:AK$7,#REF!)),1,0),0)</f>
        <v>0</v>
      </c>
      <c r="AL17" s="1">
        <f>IF(MOD(COLUMN(),2)=0,IF(AND(COUNTIF(AL$3:AL$7,$AH$26),COUNTIF(AL$3:AL$7,#REF!)),1,0),0)</f>
        <v>0</v>
      </c>
      <c r="AM17" s="1">
        <f>IF(MOD(COLUMN(),2)=0,IF(AND(COUNTIF(AM$3:AM$7,$AH$26),COUNTIF(AM$3:AM$7,#REF!)),1,0),0)</f>
        <v>0</v>
      </c>
      <c r="AN17" s="1">
        <f>IF(MOD(COLUMN(),2)=0,IF(AND(COUNTIF(AN$3:AN$7,$AH$26),COUNTIF(AN$3:AN$7,#REF!)),1,0),0)</f>
        <v>0</v>
      </c>
      <c r="AO17" s="1">
        <f>IF(MOD(COLUMN(),2)=0,IF(AND(COUNTIF(AO$3:AO$7,$AH$26),COUNTIF(AO$3:AO$7,#REF!)),1,0),0)</f>
        <v>0</v>
      </c>
      <c r="AP17" s="1">
        <f>IF(MOD(COLUMN(),2)=0,IF(AND(COUNTIF(AP$3:AP$7,$AH$26),COUNTIF(AP$3:AP$7,#REF!)),1,0),0)</f>
        <v>0</v>
      </c>
      <c r="AQ17" s="1">
        <f>IF(MOD(COLUMN(),2)=0,IF(AND(COUNTIF(AQ$3:AQ$7,$AH$26),COUNTIF(AQ$3:AQ$7,#REF!)),1,0),0)</f>
        <v>0</v>
      </c>
      <c r="AR17" s="1">
        <f>IF(MOD(COLUMN(),2)=0,IF(AND(COUNTIF(AR$3:AR$7,$AH$26),COUNTIF(AR$3:AR$7,#REF!)),1,0),0)</f>
        <v>0</v>
      </c>
      <c r="AS17" s="1">
        <f>IF(MOD(COLUMN(),2)=0,IF(AND(COUNTIF(AS$3:AS$7,$AH$26),COUNTIF(AS$3:AS$7,#REF!)),1,0),0)</f>
        <v>0</v>
      </c>
      <c r="AT17" s="1">
        <f>IF(MOD(COLUMN(),2)=0,IF(AND(COUNTIF(AT$3:AT$7,$AH$26),COUNTIF(AT$3:AT$7,#REF!)),1,0),0)</f>
        <v>0</v>
      </c>
      <c r="AU17" s="1">
        <f>IF(MOD(COLUMN(),2)=0,IF(AND(COUNTIF(AU$3:AU$7,$AH$26),COUNTIF(AU$3:AU$7,#REF!)),1,0),0)</f>
        <v>0</v>
      </c>
      <c r="AV17" s="1">
        <f>IF(MOD(COLUMN(),2)=0,IF(AND(COUNTIF(AV$3:AV$7,$AH$26),COUNTIF(AV$3:AV$7,#REF!)),1,0),0)</f>
        <v>0</v>
      </c>
      <c r="AW17" s="1">
        <f>IF(MOD(COLUMN(),2)=0,IF(AND(COUNTIF(AW$3:AW$7,$AH$26),COUNTIF(AW$3:AW$7,#REF!)),1,0),0)</f>
        <v>0</v>
      </c>
      <c r="AX17" s="1">
        <f>IF(MOD(COLUMN(),2)=0,IF(AND(COUNTIF(AX$3:AX$7,$AH$26),COUNTIF(AX$3:AX$7,#REF!)),1,0),0)</f>
        <v>0</v>
      </c>
      <c r="AY17" s="1">
        <f>IF(MOD(COLUMN(),2)=0,IF(AND(COUNTIF(AY$3:AY$7,$AH$26),COUNTIF(AY$3:AY$7,#REF!)),1,0),0)</f>
        <v>0</v>
      </c>
      <c r="AZ17" s="1">
        <f>IF(MOD(COLUMN(),2)=0,IF(AND(COUNTIF(AZ$3:AZ$7,$AH$26),COUNTIF(AZ$3:AZ$7,#REF!)),1,0),0)</f>
        <v>0</v>
      </c>
      <c r="BA17" s="1">
        <f>IF(MOD(COLUMN(),2)=0,IF(AND(COUNTIF(BA$3:BA$7,$AH$26),COUNTIF(BA$3:BA$7,#REF!)),1,0),0)</f>
        <v>0</v>
      </c>
      <c r="BB17" s="1">
        <f>IF(MOD(COLUMN(),2)=0,IF(AND(COUNTIF(BB$3:BB$7,$AH$26),COUNTIF(BB$3:BB$7,#REF!)),1,0),0)</f>
        <v>0</v>
      </c>
      <c r="BC17" s="1">
        <f>IF(MOD(COLUMN(),2)=0,IF(AND(COUNTIF(BC$3:BC$7,$AH$26),COUNTIF(BC$3:BC$7,#REF!)),1,0),0)</f>
        <v>0</v>
      </c>
      <c r="BD17" s="1">
        <f>IF(MOD(COLUMN(),2)=0,IF(AND(COUNTIF(BD$3:BD$7,$AH$26),COUNTIF(BD$3:BD$7,#REF!)),1,0),0)</f>
        <v>0</v>
      </c>
      <c r="BE17" s="1">
        <f>IF(MOD(COLUMN(),2)=0,IF(AND(COUNTIF(BE$3:BE$7,$AH$26),COUNTIF(BE$3:BE$7,#REF!)),1,0),0)</f>
        <v>0</v>
      </c>
      <c r="BF17" s="1">
        <f>IF(MOD(COLUMN(),2)=0,IF(AND(COUNTIF(BF$3:BF$7,$AH$26),COUNTIF(BF$3:BF$7,#REF!)),1,0),0)</f>
        <v>0</v>
      </c>
      <c r="BG17" s="1">
        <f>IF(MOD(COLUMN(),2)=0,IF(AND(COUNTIF(BG$3:BG$7,$AH$26),COUNTIF(BG$3:BG$7,#REF!)),1,0),0)</f>
        <v>0</v>
      </c>
      <c r="BH17" s="1">
        <f>IF(MOD(COLUMN(),2)=0,IF(AND(COUNTIF(BH$3:BH$7,$AH$26),COUNTIF(BH$3:BH$7,#REF!)),1,0),0)</f>
        <v>0</v>
      </c>
      <c r="BI17" s="1">
        <f>IF(MOD(COLUMN(),2)=0,IF(AND(COUNTIF(BI$3:BI$7,$AH$26),COUNTIF(BI$3:BI$7,#REF!)),1,0),0)</f>
        <v>0</v>
      </c>
      <c r="BJ17" s="1">
        <f>IF(MOD(COLUMN(),2)=0,IF(AND(COUNTIF(BJ$3:BJ$7,$AH$26),COUNTIF(BJ$3:BJ$7,#REF!)),1,0),0)</f>
        <v>0</v>
      </c>
      <c r="BK17" s="1">
        <f>IF(MOD(COLUMN(),2)=0,IF(AND(COUNTIF(BK$3:BK$7,$AH$26),COUNTIF(BK$3:BK$7,#REF!)),1,0),0)</f>
        <v>0</v>
      </c>
      <c r="BL17" s="1">
        <f>IF(MOD(COLUMN(),2)=0,IF(AND(COUNTIF(BL$3:BL$7,$AH$26),COUNTIF(BL$3:BL$7,#REF!)),1,0),0)</f>
        <v>0</v>
      </c>
      <c r="BM17" s="1">
        <f>IF(MOD(COLUMN(),2)=0,IF(AND(COUNTIF(BM$3:BM$7,$AH$26),COUNTIF(BM$3:BM$7,#REF!)),1,0),0)</f>
        <v>0</v>
      </c>
      <c r="BN17" s="1">
        <f>IF(MOD(COLUMN(),2)=0,IF(AND(COUNTIF(BN$3:BN$7,$AH$26),COUNTIF(BN$3:BN$7,#REF!)),1,0),0)</f>
        <v>0</v>
      </c>
      <c r="BO17" s="1">
        <f>IF(MOD(COLUMN(),2)=0,IF(AND(COUNTIF(BO$3:BO$7,$AH$26),COUNTIF(BO$3:BO$7,#REF!)),1,0),0)</f>
        <v>0</v>
      </c>
      <c r="BP17" s="1">
        <f>IF(MOD(COLUMN(),2)=0,IF(AND(COUNTIF(BP$3:BP$7,$AH$26),COUNTIF(BP$3:BP$7,#REF!)),1,0),0)</f>
        <v>0</v>
      </c>
      <c r="BQ17" s="1">
        <f>IF(MOD(COLUMN(),2)=0,IF(AND(COUNTIF(BQ$3:BQ$7,$AH$26),COUNTIF(BQ$3:BQ$7,#REF!)),1,0),0)</f>
        <v>0</v>
      </c>
      <c r="BR17" s="1">
        <f>IF(MOD(COLUMN(),2)=0,IF(AND(COUNTIF(BR$3:BR$7,$AH$26),COUNTIF(BR$3:BR$7,#REF!)),1,0),0)</f>
        <v>0</v>
      </c>
      <c r="BS17" s="1">
        <f>IF(MOD(COLUMN(),2)=0,IF(AND(COUNTIF(BS$3:BS$7,$AH$26),COUNTIF(BS$3:BS$7,#REF!)),1,0),0)</f>
        <v>0</v>
      </c>
      <c r="BT17" s="1">
        <f>IF(MOD(COLUMN(),2)=0,IF(AND(COUNTIF(BT$3:BT$7,$AH$26),COUNTIF(BT$3:BT$7,#REF!)),1,0),0)</f>
        <v>0</v>
      </c>
      <c r="BU17" s="1">
        <f>IF(MOD(COLUMN(),2)=0,IF(AND(COUNTIF(BU$3:BU$7,$AH$26),COUNTIF(BU$3:BU$7,#REF!)),1,0),0)</f>
        <v>0</v>
      </c>
      <c r="BV17" s="1">
        <f>IF(MOD(COLUMN(),2)=0,IF(AND(COUNTIF(BV$3:BV$7,$AH$26),COUNTIF(BV$3:BV$7,#REF!)),1,0),0)</f>
        <v>0</v>
      </c>
      <c r="BW17" s="1">
        <f>IF(MOD(COLUMN(),2)=0,IF(AND(COUNTIF(BW$3:BW$7,$AH$26),COUNTIF(BW$3:BW$7,#REF!)),1,0),0)</f>
        <v>0</v>
      </c>
      <c r="BX17" s="1">
        <f>IF(MOD(COLUMN(),2)=0,IF(AND(COUNTIF(BX$3:BX$7,$AH$26),COUNTIF(BX$3:BX$7,#REF!)),1,0),0)</f>
        <v>0</v>
      </c>
      <c r="BY17" s="1">
        <f>IF(MOD(COLUMN(),2)=0,IF(AND(COUNTIF(BY$3:BY$7,$AH$26),COUNTIF(BY$3:BY$7,#REF!)),1,0),0)</f>
        <v>0</v>
      </c>
      <c r="BZ17" s="1">
        <f>IF(MOD(COLUMN(),2)=0,IF(AND(COUNTIF(BZ$3:BZ$7,$AH$26),COUNTIF(BZ$3:BZ$7,#REF!)),1,0),0)</f>
        <v>0</v>
      </c>
      <c r="CA17" s="1">
        <f>IF(MOD(COLUMN(),2)=0,IF(AND(COUNTIF(CA$3:CA$7,$AH$26),COUNTIF(CA$3:CA$7,#REF!)),1,0),0)</f>
        <v>0</v>
      </c>
      <c r="CB17" s="1">
        <f>IF(MOD(COLUMN(),2)=0,IF(AND(COUNTIF(CB$3:CB$7,$AH$26),COUNTIF(CB$3:CB$7,#REF!)),1,0),0)</f>
        <v>0</v>
      </c>
      <c r="CC17" s="1">
        <f>IF(MOD(COLUMN(),2)=0,IF(AND(COUNTIF(CC$3:CC$7,$AH$26),COUNTIF(CC$3:CC$7,#REF!)),1,0),0)</f>
        <v>0</v>
      </c>
      <c r="CD17" s="1">
        <f>IF(MOD(COLUMN(),2)=0,IF(AND(COUNTIF(CD$3:CD$7,$AH$26),COUNTIF(CD$3:CD$7,#REF!)),1,0),0)</f>
        <v>0</v>
      </c>
      <c r="CE17" s="1">
        <f>IF(MOD(COLUMN(),2)=0,IF(AND(COUNTIF(CE$3:CE$7,$AH$26),COUNTIF(CE$3:CE$7,#REF!)),1,0),0)</f>
        <v>0</v>
      </c>
      <c r="CF17" s="1">
        <f>IF(MOD(COLUMN(),2)=0,IF(AND(COUNTIF(CF$3:CF$7,$AH$26),COUNTIF(CF$3:CF$7,#REF!)),1,0),0)</f>
        <v>0</v>
      </c>
      <c r="CG17" s="1">
        <f>IF(MOD(COLUMN(),2)=0,IF(AND(COUNTIF(CG$3:CG$7,$AH$26),COUNTIF(CG$3:CG$7,#REF!)),1,0),0)</f>
        <v>0</v>
      </c>
      <c r="CH17" s="1">
        <f>IF(MOD(COLUMN(),2)=0,IF(AND(COUNTIF(CH$3:CH$7,$AH$26),COUNTIF(CH$3:CH$7,#REF!)),1,0),0)</f>
        <v>0</v>
      </c>
      <c r="CI17" s="1">
        <f>IF(MOD(COLUMN(),2)=0,IF(AND(COUNTIF(CI$3:CI$7,$AH$26),COUNTIF(CI$3:CI$7,#REF!)),1,0),0)</f>
        <v>0</v>
      </c>
      <c r="CJ17" s="1">
        <f>IF(MOD(COLUMN(),2)=0,IF(AND(COUNTIF(CJ$3:CJ$7,$AH$26),COUNTIF(CJ$3:CJ$7,#REF!)),1,0),0)</f>
        <v>0</v>
      </c>
      <c r="CK17" s="1">
        <f>IF(MOD(COLUMN(),2)=0,IF(AND(COUNTIF(CK$3:CK$7,$AH$26),COUNTIF(CK$3:CK$7,#REF!)),1,0),0)</f>
        <v>0</v>
      </c>
      <c r="CL17" s="1">
        <f>IF(MOD(COLUMN(),2)=0,IF(AND(COUNTIF(CL$3:CL$7,$AH$26),COUNTIF(CL$3:CL$7,#REF!)),1,0),0)</f>
        <v>0</v>
      </c>
      <c r="CM17" s="1">
        <f>IF(MOD(COLUMN(),2)=0,IF(AND(COUNTIF(CM$3:CM$7,$AH$26),COUNTIF(CM$3:CM$7,#REF!)),1,0),0)</f>
        <v>0</v>
      </c>
      <c r="CN17" s="1">
        <f>IF(MOD(COLUMN(),2)=0,IF(AND(COUNTIF(CN$3:CN$7,$AH$26),COUNTIF(CN$3:CN$7,#REF!)),1,0),0)</f>
        <v>0</v>
      </c>
      <c r="CO17" s="1">
        <f>IF(MOD(COLUMN(),2)=0,IF(AND(COUNTIF(CO$3:CO$7,$AH$26),COUNTIF(CO$3:CO$7,#REF!)),1,0),0)</f>
        <v>0</v>
      </c>
      <c r="CP17" s="1">
        <f>IF(MOD(COLUMN(),2)=0,IF(AND(COUNTIF(CP$3:CP$7,$AH$26),COUNTIF(CP$3:CP$7,#REF!)),1,0),0)</f>
        <v>0</v>
      </c>
      <c r="CQ17" s="1">
        <f>IF(MOD(COLUMN(),2)=0,IF(AND(COUNTIF(CQ$3:CQ$7,$AH$26),COUNTIF(CQ$3:CQ$7,#REF!)),1,0),0)</f>
        <v>0</v>
      </c>
      <c r="CR17" s="1">
        <f>IF(MOD(COLUMN(),2)=0,IF(AND(COUNTIF(CR$3:CR$7,$AH$26),COUNTIF(CR$3:CR$7,#REF!)),1,0),0)</f>
        <v>0</v>
      </c>
      <c r="CS17" s="1">
        <f>IF(MOD(COLUMN(),2)=0,IF(AND(COUNTIF(CS$3:CS$7,$AH$26),COUNTIF(CS$3:CS$7,#REF!)),1,0),0)</f>
        <v>0</v>
      </c>
      <c r="CT17" s="1">
        <f>IF(MOD(COLUMN(),2)=0,IF(AND(COUNTIF(CT$3:CT$7,$AH$26),COUNTIF(CT$3:CT$7,#REF!)),1,0),0)</f>
        <v>0</v>
      </c>
      <c r="CU17" s="1">
        <f>IF(MOD(COLUMN(),2)=0,IF(AND(COUNTIF(CU$3:CU$7,$AH$26),COUNTIF(CU$3:CU$7,#REF!)),1,0),0)</f>
        <v>0</v>
      </c>
      <c r="CV17" s="1">
        <f>IF(MOD(COLUMN(),2)=0,IF(AND(COUNTIF(CV$3:CV$7,$AH$26),COUNTIF(CV$3:CV$7,#REF!)),1,0),0)</f>
        <v>0</v>
      </c>
      <c r="CW17" s="1">
        <f>IF(MOD(COLUMN(),2)=0,IF(AND(COUNTIF(CW$3:CW$7,$AH$26),COUNTIF(CW$3:CW$7,#REF!)),1,0),0)</f>
        <v>0</v>
      </c>
      <c r="CX17" s="1">
        <f>IF(MOD(COLUMN(),2)=0,IF(AND(COUNTIF(CX$3:CX$7,$AH$26),COUNTIF(CX$3:CX$7,#REF!)),1,0),0)</f>
        <v>0</v>
      </c>
      <c r="CY17" s="1">
        <f>IF(MOD(COLUMN(),2)=0,IF(AND(COUNTIF(CY$3:CY$7,$AH$26),COUNTIF(CY$3:CY$7,#REF!)),1,0),0)</f>
        <v>0</v>
      </c>
      <c r="CZ17" s="1">
        <f>IF(MOD(COLUMN(),2)=0,IF(AND(COUNTIF(CZ$3:CZ$7,$AH$26),COUNTIF(CZ$3:CZ$7,#REF!)),1,0),0)</f>
        <v>0</v>
      </c>
      <c r="DA17" s="1">
        <f>IF(MOD(COLUMN(),2)=0,IF(AND(COUNTIF(DA$3:DA$7,$AH$26),COUNTIF(DA$3:DA$7,#REF!)),1,0),0)</f>
        <v>0</v>
      </c>
      <c r="DB17" s="1">
        <f>IF(MOD(COLUMN(),2)=0,IF(AND(COUNTIF(DB$3:DB$7,$AH$26),COUNTIF(DB$3:DB$7,#REF!)),1,0),0)</f>
        <v>0</v>
      </c>
      <c r="DC17" s="1">
        <f>IF(MOD(COLUMN(),2)=0,IF(AND(COUNTIF(DC$3:DC$7,$AH$26),COUNTIF(DC$3:DC$7,#REF!)),1,0),0)</f>
        <v>0</v>
      </c>
      <c r="DD17" s="1">
        <f>IF(MOD(COLUMN(),2)=0,IF(AND(COUNTIF(DD$3:DD$7,$AH$26),COUNTIF(DD$3:DD$7,#REF!)),1,0),0)</f>
        <v>0</v>
      </c>
      <c r="DE17" s="1">
        <f>IF(MOD(COLUMN(),2)=0,IF(AND(COUNTIF(DE$3:DE$7,$AH$26),COUNTIF(DE$3:DE$7,#REF!)),1,0),0)</f>
        <v>0</v>
      </c>
      <c r="DF17" s="1">
        <f>IF(MOD(COLUMN(),2)=0,IF(AND(COUNTIF(DF$3:DF$7,$AH$26),COUNTIF(DF$3:DF$7,#REF!)),1,0),0)</f>
        <v>0</v>
      </c>
      <c r="DG17" s="1">
        <f>IF(MOD(COLUMN(),2)=0,IF(AND(COUNTIF(DG$3:DG$7,$AH$26),COUNTIF(DG$3:DG$7,#REF!)),1,0),0)</f>
        <v>0</v>
      </c>
    </row>
    <row r="18" spans="1:111" s="20" customFormat="1" ht="7.5" hidden="1" customHeight="1" x14ac:dyDescent="0.3">
      <c r="B18" s="1">
        <f t="shared" ref="B18:AG18" si="20">IF(MOD(COLUMN(),2)=0,IF(AND(COUNTIF(B$3:B$7,$AH$26),COUNTIF(B$3:B$7,$AJ32)),1,0),0)</f>
        <v>0</v>
      </c>
      <c r="C18" s="1">
        <f t="shared" si="20"/>
        <v>0</v>
      </c>
      <c r="D18" s="1">
        <f t="shared" si="20"/>
        <v>0</v>
      </c>
      <c r="E18" s="1">
        <f t="shared" si="20"/>
        <v>0</v>
      </c>
      <c r="F18" s="1">
        <f t="shared" si="20"/>
        <v>0</v>
      </c>
      <c r="G18" s="1">
        <f t="shared" si="20"/>
        <v>0</v>
      </c>
      <c r="H18" s="1">
        <f t="shared" si="20"/>
        <v>0</v>
      </c>
      <c r="I18" s="1">
        <f t="shared" si="20"/>
        <v>0</v>
      </c>
      <c r="J18" s="1">
        <f t="shared" si="20"/>
        <v>0</v>
      </c>
      <c r="K18" s="1">
        <f t="shared" si="20"/>
        <v>0</v>
      </c>
      <c r="L18" s="1">
        <f t="shared" si="20"/>
        <v>0</v>
      </c>
      <c r="M18" s="1">
        <f t="shared" si="20"/>
        <v>0</v>
      </c>
      <c r="N18" s="1">
        <f t="shared" si="20"/>
        <v>0</v>
      </c>
      <c r="O18" s="1">
        <f t="shared" si="20"/>
        <v>0</v>
      </c>
      <c r="P18" s="1">
        <f t="shared" si="20"/>
        <v>0</v>
      </c>
      <c r="Q18" s="1">
        <f t="shared" si="20"/>
        <v>0</v>
      </c>
      <c r="R18" s="1">
        <f t="shared" si="20"/>
        <v>0</v>
      </c>
      <c r="S18" s="1">
        <f t="shared" si="20"/>
        <v>0</v>
      </c>
      <c r="T18" s="1">
        <f t="shared" si="20"/>
        <v>0</v>
      </c>
      <c r="U18" s="1">
        <f t="shared" si="20"/>
        <v>0</v>
      </c>
      <c r="V18" s="1">
        <f t="shared" si="20"/>
        <v>0</v>
      </c>
      <c r="W18" s="1">
        <f t="shared" si="20"/>
        <v>0</v>
      </c>
      <c r="X18" s="1">
        <f t="shared" si="20"/>
        <v>0</v>
      </c>
      <c r="Y18" s="1">
        <f t="shared" si="20"/>
        <v>0</v>
      </c>
      <c r="Z18" s="1">
        <f t="shared" si="20"/>
        <v>0</v>
      </c>
      <c r="AA18" s="1">
        <f t="shared" si="20"/>
        <v>0</v>
      </c>
      <c r="AB18" s="1">
        <f t="shared" si="20"/>
        <v>0</v>
      </c>
      <c r="AC18" s="1">
        <f t="shared" si="20"/>
        <v>0</v>
      </c>
      <c r="AD18" s="1">
        <f t="shared" si="20"/>
        <v>0</v>
      </c>
      <c r="AE18" s="1">
        <f t="shared" si="20"/>
        <v>0</v>
      </c>
      <c r="AF18" s="1">
        <f t="shared" si="20"/>
        <v>0</v>
      </c>
      <c r="AG18" s="1">
        <f t="shared" si="20"/>
        <v>0</v>
      </c>
      <c r="AH18" s="1">
        <f t="shared" ref="AH18:BM18" si="21">IF(MOD(COLUMN(),2)=0,IF(AND(COUNTIF(AH$3:AH$7,$AH$26),COUNTIF(AH$3:AH$7,$AJ32)),1,0),0)</f>
        <v>0</v>
      </c>
      <c r="AI18" s="1">
        <f t="shared" si="21"/>
        <v>0</v>
      </c>
      <c r="AJ18" s="1">
        <f t="shared" si="21"/>
        <v>0</v>
      </c>
      <c r="AK18" s="1">
        <f t="shared" si="21"/>
        <v>0</v>
      </c>
      <c r="AL18" s="1">
        <f t="shared" si="21"/>
        <v>0</v>
      </c>
      <c r="AM18" s="1">
        <f t="shared" si="21"/>
        <v>0</v>
      </c>
      <c r="AN18" s="1">
        <f t="shared" si="21"/>
        <v>0</v>
      </c>
      <c r="AO18" s="1">
        <f t="shared" si="21"/>
        <v>0</v>
      </c>
      <c r="AP18" s="1">
        <f t="shared" si="21"/>
        <v>0</v>
      </c>
      <c r="AQ18" s="1">
        <f t="shared" si="21"/>
        <v>0</v>
      </c>
      <c r="AR18" s="1">
        <f t="shared" si="21"/>
        <v>0</v>
      </c>
      <c r="AS18" s="1">
        <f t="shared" si="21"/>
        <v>0</v>
      </c>
      <c r="AT18" s="1">
        <f t="shared" si="21"/>
        <v>0</v>
      </c>
      <c r="AU18" s="1">
        <f t="shared" si="21"/>
        <v>0</v>
      </c>
      <c r="AV18" s="1">
        <f t="shared" si="21"/>
        <v>0</v>
      </c>
      <c r="AW18" s="1">
        <f t="shared" si="21"/>
        <v>0</v>
      </c>
      <c r="AX18" s="1">
        <f t="shared" si="21"/>
        <v>0</v>
      </c>
      <c r="AY18" s="1">
        <f t="shared" si="21"/>
        <v>0</v>
      </c>
      <c r="AZ18" s="1">
        <f t="shared" si="21"/>
        <v>0</v>
      </c>
      <c r="BA18" s="1">
        <f t="shared" si="21"/>
        <v>0</v>
      </c>
      <c r="BB18" s="1">
        <f t="shared" si="21"/>
        <v>0</v>
      </c>
      <c r="BC18" s="1">
        <f t="shared" si="21"/>
        <v>0</v>
      </c>
      <c r="BD18" s="1">
        <f t="shared" si="21"/>
        <v>0</v>
      </c>
      <c r="BE18" s="1">
        <f t="shared" si="21"/>
        <v>0</v>
      </c>
      <c r="BF18" s="1">
        <f t="shared" si="21"/>
        <v>0</v>
      </c>
      <c r="BG18" s="1">
        <f t="shared" si="21"/>
        <v>0</v>
      </c>
      <c r="BH18" s="1">
        <f t="shared" si="21"/>
        <v>0</v>
      </c>
      <c r="BI18" s="1">
        <f t="shared" si="21"/>
        <v>0</v>
      </c>
      <c r="BJ18" s="1">
        <f t="shared" si="21"/>
        <v>0</v>
      </c>
      <c r="BK18" s="1">
        <f t="shared" si="21"/>
        <v>0</v>
      </c>
      <c r="BL18" s="1">
        <f t="shared" si="21"/>
        <v>0</v>
      </c>
      <c r="BM18" s="1">
        <f t="shared" si="21"/>
        <v>0</v>
      </c>
      <c r="BN18" s="1">
        <f t="shared" ref="BN18:CS18" si="22">IF(MOD(COLUMN(),2)=0,IF(AND(COUNTIF(BN$3:BN$7,$AH$26),COUNTIF(BN$3:BN$7,$AJ32)),1,0),0)</f>
        <v>0</v>
      </c>
      <c r="BO18" s="1">
        <f t="shared" si="22"/>
        <v>0</v>
      </c>
      <c r="BP18" s="1">
        <f t="shared" si="22"/>
        <v>0</v>
      </c>
      <c r="BQ18" s="1">
        <f t="shared" si="22"/>
        <v>0</v>
      </c>
      <c r="BR18" s="1">
        <f t="shared" si="22"/>
        <v>0</v>
      </c>
      <c r="BS18" s="1">
        <f t="shared" si="22"/>
        <v>0</v>
      </c>
      <c r="BT18" s="1">
        <f t="shared" si="22"/>
        <v>0</v>
      </c>
      <c r="BU18" s="1">
        <f t="shared" si="22"/>
        <v>0</v>
      </c>
      <c r="BV18" s="1">
        <f t="shared" si="22"/>
        <v>0</v>
      </c>
      <c r="BW18" s="1">
        <f t="shared" si="22"/>
        <v>0</v>
      </c>
      <c r="BX18" s="1">
        <f t="shared" si="22"/>
        <v>0</v>
      </c>
      <c r="BY18" s="1">
        <f t="shared" si="22"/>
        <v>0</v>
      </c>
      <c r="BZ18" s="1">
        <f t="shared" si="22"/>
        <v>0</v>
      </c>
      <c r="CA18" s="1">
        <f t="shared" si="22"/>
        <v>0</v>
      </c>
      <c r="CB18" s="1">
        <f t="shared" si="22"/>
        <v>0</v>
      </c>
      <c r="CC18" s="1">
        <f t="shared" si="22"/>
        <v>0</v>
      </c>
      <c r="CD18" s="1">
        <f t="shared" si="22"/>
        <v>0</v>
      </c>
      <c r="CE18" s="1">
        <f t="shared" si="22"/>
        <v>0</v>
      </c>
      <c r="CF18" s="1">
        <f t="shared" si="22"/>
        <v>0</v>
      </c>
      <c r="CG18" s="1">
        <f t="shared" si="22"/>
        <v>0</v>
      </c>
      <c r="CH18" s="1">
        <f t="shared" si="22"/>
        <v>0</v>
      </c>
      <c r="CI18" s="1">
        <f t="shared" si="22"/>
        <v>0</v>
      </c>
      <c r="CJ18" s="1">
        <f t="shared" si="22"/>
        <v>0</v>
      </c>
      <c r="CK18" s="1">
        <f t="shared" si="22"/>
        <v>0</v>
      </c>
      <c r="CL18" s="1">
        <f t="shared" si="22"/>
        <v>0</v>
      </c>
      <c r="CM18" s="1">
        <f t="shared" si="22"/>
        <v>0</v>
      </c>
      <c r="CN18" s="1">
        <f t="shared" si="22"/>
        <v>0</v>
      </c>
      <c r="CO18" s="1">
        <f t="shared" si="22"/>
        <v>0</v>
      </c>
      <c r="CP18" s="1">
        <f t="shared" si="22"/>
        <v>0</v>
      </c>
      <c r="CQ18" s="1">
        <f t="shared" si="22"/>
        <v>0</v>
      </c>
      <c r="CR18" s="1">
        <f t="shared" si="22"/>
        <v>0</v>
      </c>
      <c r="CS18" s="1">
        <f t="shared" si="22"/>
        <v>0</v>
      </c>
      <c r="CT18" s="1">
        <f t="shared" ref="CT18:DG18" si="23">IF(MOD(COLUMN(),2)=0,IF(AND(COUNTIF(CT$3:CT$7,$AH$26),COUNTIF(CT$3:CT$7,$AJ32)),1,0),0)</f>
        <v>0</v>
      </c>
      <c r="CU18" s="1">
        <f t="shared" si="23"/>
        <v>0</v>
      </c>
      <c r="CV18" s="1">
        <f t="shared" si="23"/>
        <v>0</v>
      </c>
      <c r="CW18" s="1">
        <f t="shared" si="23"/>
        <v>0</v>
      </c>
      <c r="CX18" s="1">
        <f t="shared" si="23"/>
        <v>0</v>
      </c>
      <c r="CY18" s="1">
        <f t="shared" si="23"/>
        <v>0</v>
      </c>
      <c r="CZ18" s="1">
        <f t="shared" si="23"/>
        <v>0</v>
      </c>
      <c r="DA18" s="1">
        <f t="shared" si="23"/>
        <v>0</v>
      </c>
      <c r="DB18" s="1">
        <f t="shared" si="23"/>
        <v>0</v>
      </c>
      <c r="DC18" s="1">
        <f t="shared" si="23"/>
        <v>0</v>
      </c>
      <c r="DD18" s="1">
        <f t="shared" si="23"/>
        <v>0</v>
      </c>
      <c r="DE18" s="1">
        <f t="shared" si="23"/>
        <v>0</v>
      </c>
      <c r="DF18" s="1">
        <f t="shared" si="23"/>
        <v>0</v>
      </c>
      <c r="DG18" s="1">
        <f t="shared" si="23"/>
        <v>0</v>
      </c>
    </row>
    <row r="19" spans="1:111" s="20" customFormat="1" ht="7.5" hidden="1" customHeight="1" x14ac:dyDescent="0.3">
      <c r="B19" s="1">
        <f t="shared" ref="B19:AG19" si="24">IF(MOD(COLUMN(),2)=0,IF(AND(COUNTIF(B$3:B$7,$AH$26),COUNTIF(B$3:B$7,$AJ33)),1,0),0)</f>
        <v>0</v>
      </c>
      <c r="C19" s="1">
        <f t="shared" si="24"/>
        <v>0</v>
      </c>
      <c r="D19" s="1">
        <f t="shared" si="24"/>
        <v>0</v>
      </c>
      <c r="E19" s="1">
        <f t="shared" si="24"/>
        <v>0</v>
      </c>
      <c r="F19" s="1">
        <f t="shared" si="24"/>
        <v>0</v>
      </c>
      <c r="G19" s="1">
        <f t="shared" si="24"/>
        <v>0</v>
      </c>
      <c r="H19" s="1">
        <f t="shared" si="24"/>
        <v>0</v>
      </c>
      <c r="I19" s="1">
        <f t="shared" si="24"/>
        <v>0</v>
      </c>
      <c r="J19" s="1">
        <f t="shared" si="24"/>
        <v>0</v>
      </c>
      <c r="K19" s="1">
        <f t="shared" si="24"/>
        <v>0</v>
      </c>
      <c r="L19" s="1">
        <f t="shared" si="24"/>
        <v>0</v>
      </c>
      <c r="M19" s="1">
        <f t="shared" si="24"/>
        <v>0</v>
      </c>
      <c r="N19" s="1">
        <f t="shared" si="24"/>
        <v>0</v>
      </c>
      <c r="O19" s="1">
        <f t="shared" si="24"/>
        <v>0</v>
      </c>
      <c r="P19" s="1">
        <f t="shared" si="24"/>
        <v>0</v>
      </c>
      <c r="Q19" s="1">
        <f t="shared" si="24"/>
        <v>0</v>
      </c>
      <c r="R19" s="1">
        <f t="shared" si="24"/>
        <v>0</v>
      </c>
      <c r="S19" s="1">
        <f t="shared" si="24"/>
        <v>0</v>
      </c>
      <c r="T19" s="1">
        <f t="shared" si="24"/>
        <v>0</v>
      </c>
      <c r="U19" s="1">
        <f t="shared" si="24"/>
        <v>0</v>
      </c>
      <c r="V19" s="1">
        <f t="shared" si="24"/>
        <v>0</v>
      </c>
      <c r="W19" s="1">
        <f t="shared" si="24"/>
        <v>0</v>
      </c>
      <c r="X19" s="1">
        <f t="shared" si="24"/>
        <v>0</v>
      </c>
      <c r="Y19" s="1">
        <f t="shared" si="24"/>
        <v>0</v>
      </c>
      <c r="Z19" s="1">
        <f t="shared" si="24"/>
        <v>0</v>
      </c>
      <c r="AA19" s="1">
        <f t="shared" si="24"/>
        <v>0</v>
      </c>
      <c r="AB19" s="1">
        <f t="shared" si="24"/>
        <v>0</v>
      </c>
      <c r="AC19" s="1">
        <f t="shared" si="24"/>
        <v>0</v>
      </c>
      <c r="AD19" s="1">
        <f t="shared" si="24"/>
        <v>0</v>
      </c>
      <c r="AE19" s="1">
        <f t="shared" si="24"/>
        <v>0</v>
      </c>
      <c r="AF19" s="1">
        <f t="shared" si="24"/>
        <v>0</v>
      </c>
      <c r="AG19" s="1">
        <f t="shared" si="24"/>
        <v>0</v>
      </c>
      <c r="AH19" s="1">
        <f t="shared" ref="AH19:BM19" si="25">IF(MOD(COLUMN(),2)=0,IF(AND(COUNTIF(AH$3:AH$7,$AH$26),COUNTIF(AH$3:AH$7,$AJ33)),1,0),0)</f>
        <v>0</v>
      </c>
      <c r="AI19" s="1">
        <f t="shared" si="25"/>
        <v>0</v>
      </c>
      <c r="AJ19" s="1">
        <f t="shared" si="25"/>
        <v>0</v>
      </c>
      <c r="AK19" s="1">
        <f t="shared" si="25"/>
        <v>0</v>
      </c>
      <c r="AL19" s="1">
        <f t="shared" si="25"/>
        <v>0</v>
      </c>
      <c r="AM19" s="1">
        <f t="shared" si="25"/>
        <v>0</v>
      </c>
      <c r="AN19" s="1">
        <f t="shared" si="25"/>
        <v>0</v>
      </c>
      <c r="AO19" s="1">
        <f t="shared" si="25"/>
        <v>0</v>
      </c>
      <c r="AP19" s="1">
        <f t="shared" si="25"/>
        <v>0</v>
      </c>
      <c r="AQ19" s="1">
        <f t="shared" si="25"/>
        <v>0</v>
      </c>
      <c r="AR19" s="1">
        <f t="shared" si="25"/>
        <v>0</v>
      </c>
      <c r="AS19" s="1">
        <f t="shared" si="25"/>
        <v>0</v>
      </c>
      <c r="AT19" s="1">
        <f t="shared" si="25"/>
        <v>0</v>
      </c>
      <c r="AU19" s="1">
        <f t="shared" si="25"/>
        <v>0</v>
      </c>
      <c r="AV19" s="1">
        <f t="shared" si="25"/>
        <v>0</v>
      </c>
      <c r="AW19" s="1">
        <f t="shared" si="25"/>
        <v>0</v>
      </c>
      <c r="AX19" s="1">
        <f t="shared" si="25"/>
        <v>0</v>
      </c>
      <c r="AY19" s="1">
        <f t="shared" si="25"/>
        <v>0</v>
      </c>
      <c r="AZ19" s="1">
        <f t="shared" si="25"/>
        <v>0</v>
      </c>
      <c r="BA19" s="1">
        <f t="shared" si="25"/>
        <v>0</v>
      </c>
      <c r="BB19" s="1">
        <f t="shared" si="25"/>
        <v>0</v>
      </c>
      <c r="BC19" s="1">
        <f t="shared" si="25"/>
        <v>0</v>
      </c>
      <c r="BD19" s="1">
        <f t="shared" si="25"/>
        <v>0</v>
      </c>
      <c r="BE19" s="1">
        <f t="shared" si="25"/>
        <v>0</v>
      </c>
      <c r="BF19" s="1">
        <f t="shared" si="25"/>
        <v>0</v>
      </c>
      <c r="BG19" s="1">
        <f t="shared" si="25"/>
        <v>0</v>
      </c>
      <c r="BH19" s="1">
        <f t="shared" si="25"/>
        <v>0</v>
      </c>
      <c r="BI19" s="1">
        <f t="shared" si="25"/>
        <v>0</v>
      </c>
      <c r="BJ19" s="1">
        <f t="shared" si="25"/>
        <v>0</v>
      </c>
      <c r="BK19" s="1">
        <f t="shared" si="25"/>
        <v>0</v>
      </c>
      <c r="BL19" s="1">
        <f t="shared" si="25"/>
        <v>0</v>
      </c>
      <c r="BM19" s="1">
        <f t="shared" si="25"/>
        <v>0</v>
      </c>
      <c r="BN19" s="1">
        <f t="shared" ref="BN19:CS19" si="26">IF(MOD(COLUMN(),2)=0,IF(AND(COUNTIF(BN$3:BN$7,$AH$26),COUNTIF(BN$3:BN$7,$AJ33)),1,0),0)</f>
        <v>0</v>
      </c>
      <c r="BO19" s="1">
        <f t="shared" si="26"/>
        <v>0</v>
      </c>
      <c r="BP19" s="1">
        <f t="shared" si="26"/>
        <v>0</v>
      </c>
      <c r="BQ19" s="1">
        <f t="shared" si="26"/>
        <v>0</v>
      </c>
      <c r="BR19" s="1">
        <f t="shared" si="26"/>
        <v>0</v>
      </c>
      <c r="BS19" s="1">
        <f t="shared" si="26"/>
        <v>0</v>
      </c>
      <c r="BT19" s="1">
        <f t="shared" si="26"/>
        <v>0</v>
      </c>
      <c r="BU19" s="1">
        <f t="shared" si="26"/>
        <v>0</v>
      </c>
      <c r="BV19" s="1">
        <f t="shared" si="26"/>
        <v>0</v>
      </c>
      <c r="BW19" s="1">
        <f t="shared" si="26"/>
        <v>0</v>
      </c>
      <c r="BX19" s="1">
        <f t="shared" si="26"/>
        <v>0</v>
      </c>
      <c r="BY19" s="1">
        <f t="shared" si="26"/>
        <v>0</v>
      </c>
      <c r="BZ19" s="1">
        <f t="shared" si="26"/>
        <v>0</v>
      </c>
      <c r="CA19" s="1">
        <f t="shared" si="26"/>
        <v>0</v>
      </c>
      <c r="CB19" s="1">
        <f t="shared" si="26"/>
        <v>0</v>
      </c>
      <c r="CC19" s="1">
        <f t="shared" si="26"/>
        <v>0</v>
      </c>
      <c r="CD19" s="1">
        <f t="shared" si="26"/>
        <v>0</v>
      </c>
      <c r="CE19" s="1">
        <f t="shared" si="26"/>
        <v>0</v>
      </c>
      <c r="CF19" s="1">
        <f t="shared" si="26"/>
        <v>0</v>
      </c>
      <c r="CG19" s="1">
        <f t="shared" si="26"/>
        <v>0</v>
      </c>
      <c r="CH19" s="1">
        <f t="shared" si="26"/>
        <v>0</v>
      </c>
      <c r="CI19" s="1">
        <f t="shared" si="26"/>
        <v>0</v>
      </c>
      <c r="CJ19" s="1">
        <f t="shared" si="26"/>
        <v>0</v>
      </c>
      <c r="CK19" s="1">
        <f t="shared" si="26"/>
        <v>0</v>
      </c>
      <c r="CL19" s="1">
        <f t="shared" si="26"/>
        <v>0</v>
      </c>
      <c r="CM19" s="1">
        <f t="shared" si="26"/>
        <v>0</v>
      </c>
      <c r="CN19" s="1">
        <f t="shared" si="26"/>
        <v>0</v>
      </c>
      <c r="CO19" s="1">
        <f t="shared" si="26"/>
        <v>0</v>
      </c>
      <c r="CP19" s="1">
        <f t="shared" si="26"/>
        <v>0</v>
      </c>
      <c r="CQ19" s="1">
        <f t="shared" si="26"/>
        <v>0</v>
      </c>
      <c r="CR19" s="1">
        <f t="shared" si="26"/>
        <v>0</v>
      </c>
      <c r="CS19" s="1">
        <f t="shared" si="26"/>
        <v>0</v>
      </c>
      <c r="CT19" s="1">
        <f t="shared" ref="CT19:DG19" si="27">IF(MOD(COLUMN(),2)=0,IF(AND(COUNTIF(CT$3:CT$7,$AH$26),COUNTIF(CT$3:CT$7,$AJ33)),1,0),0)</f>
        <v>0</v>
      </c>
      <c r="CU19" s="1">
        <f t="shared" si="27"/>
        <v>0</v>
      </c>
      <c r="CV19" s="1">
        <f t="shared" si="27"/>
        <v>0</v>
      </c>
      <c r="CW19" s="1">
        <f t="shared" si="27"/>
        <v>0</v>
      </c>
      <c r="CX19" s="1">
        <f t="shared" si="27"/>
        <v>0</v>
      </c>
      <c r="CY19" s="1">
        <f t="shared" si="27"/>
        <v>0</v>
      </c>
      <c r="CZ19" s="1">
        <f t="shared" si="27"/>
        <v>0</v>
      </c>
      <c r="DA19" s="1">
        <f t="shared" si="27"/>
        <v>0</v>
      </c>
      <c r="DB19" s="1">
        <f t="shared" si="27"/>
        <v>0</v>
      </c>
      <c r="DC19" s="1">
        <f t="shared" si="27"/>
        <v>0</v>
      </c>
      <c r="DD19" s="1">
        <f t="shared" si="27"/>
        <v>0</v>
      </c>
      <c r="DE19" s="1">
        <f t="shared" si="27"/>
        <v>0</v>
      </c>
      <c r="DF19" s="1">
        <f t="shared" si="27"/>
        <v>0</v>
      </c>
      <c r="DG19" s="1">
        <f t="shared" si="27"/>
        <v>0</v>
      </c>
    </row>
    <row r="20" spans="1:111" s="20" customFormat="1" ht="7.5" hidden="1" customHeight="1" x14ac:dyDescent="0.3">
      <c r="B20" s="1">
        <f t="shared" ref="B20:AG20" si="28">IF(MOD(COLUMN(),2)=0,IF(AND(COUNTIF(B$3:B$7,$AH$26),COUNTIF(B$3:B$7,$AJ34)),1,0),0)</f>
        <v>0</v>
      </c>
      <c r="C20" s="1">
        <f t="shared" si="28"/>
        <v>0</v>
      </c>
      <c r="D20" s="1">
        <f t="shared" si="28"/>
        <v>0</v>
      </c>
      <c r="E20" s="1">
        <f t="shared" si="28"/>
        <v>0</v>
      </c>
      <c r="F20" s="1">
        <f t="shared" si="28"/>
        <v>0</v>
      </c>
      <c r="G20" s="1">
        <f t="shared" si="28"/>
        <v>0</v>
      </c>
      <c r="H20" s="1">
        <f t="shared" si="28"/>
        <v>0</v>
      </c>
      <c r="I20" s="1">
        <f t="shared" si="28"/>
        <v>0</v>
      </c>
      <c r="J20" s="1">
        <f t="shared" si="28"/>
        <v>0</v>
      </c>
      <c r="K20" s="1">
        <f t="shared" si="28"/>
        <v>0</v>
      </c>
      <c r="L20" s="1">
        <f t="shared" si="28"/>
        <v>0</v>
      </c>
      <c r="M20" s="1">
        <f t="shared" si="28"/>
        <v>0</v>
      </c>
      <c r="N20" s="1">
        <f t="shared" si="28"/>
        <v>0</v>
      </c>
      <c r="O20" s="1">
        <f t="shared" si="28"/>
        <v>0</v>
      </c>
      <c r="P20" s="1">
        <f t="shared" si="28"/>
        <v>0</v>
      </c>
      <c r="Q20" s="1">
        <f t="shared" si="28"/>
        <v>0</v>
      </c>
      <c r="R20" s="1">
        <f t="shared" si="28"/>
        <v>0</v>
      </c>
      <c r="S20" s="1">
        <f t="shared" si="28"/>
        <v>0</v>
      </c>
      <c r="T20" s="1">
        <f t="shared" si="28"/>
        <v>0</v>
      </c>
      <c r="U20" s="1">
        <f t="shared" si="28"/>
        <v>0</v>
      </c>
      <c r="V20" s="1">
        <f t="shared" si="28"/>
        <v>0</v>
      </c>
      <c r="W20" s="1">
        <f t="shared" si="28"/>
        <v>0</v>
      </c>
      <c r="X20" s="1">
        <f t="shared" si="28"/>
        <v>0</v>
      </c>
      <c r="Y20" s="1">
        <f t="shared" si="28"/>
        <v>0</v>
      </c>
      <c r="Z20" s="1">
        <f t="shared" si="28"/>
        <v>0</v>
      </c>
      <c r="AA20" s="1">
        <f t="shared" si="28"/>
        <v>0</v>
      </c>
      <c r="AB20" s="1">
        <f t="shared" si="28"/>
        <v>0</v>
      </c>
      <c r="AC20" s="1">
        <f t="shared" si="28"/>
        <v>0</v>
      </c>
      <c r="AD20" s="1">
        <f t="shared" si="28"/>
        <v>0</v>
      </c>
      <c r="AE20" s="1">
        <f t="shared" si="28"/>
        <v>0</v>
      </c>
      <c r="AF20" s="1">
        <f t="shared" si="28"/>
        <v>0</v>
      </c>
      <c r="AG20" s="1">
        <f t="shared" si="28"/>
        <v>0</v>
      </c>
      <c r="AH20" s="1">
        <f t="shared" ref="AH20:BM20" si="29">IF(MOD(COLUMN(),2)=0,IF(AND(COUNTIF(AH$3:AH$7,$AH$26),COUNTIF(AH$3:AH$7,$AJ34)),1,0),0)</f>
        <v>0</v>
      </c>
      <c r="AI20" s="1">
        <f t="shared" si="29"/>
        <v>0</v>
      </c>
      <c r="AJ20" s="1">
        <f t="shared" si="29"/>
        <v>0</v>
      </c>
      <c r="AK20" s="1">
        <f t="shared" si="29"/>
        <v>0</v>
      </c>
      <c r="AL20" s="1">
        <f t="shared" si="29"/>
        <v>0</v>
      </c>
      <c r="AM20" s="1">
        <f t="shared" si="29"/>
        <v>0</v>
      </c>
      <c r="AN20" s="1">
        <f t="shared" si="29"/>
        <v>0</v>
      </c>
      <c r="AO20" s="1">
        <f t="shared" si="29"/>
        <v>0</v>
      </c>
      <c r="AP20" s="1">
        <f t="shared" si="29"/>
        <v>0</v>
      </c>
      <c r="AQ20" s="1">
        <f t="shared" si="29"/>
        <v>0</v>
      </c>
      <c r="AR20" s="1">
        <f t="shared" si="29"/>
        <v>0</v>
      </c>
      <c r="AS20" s="1">
        <f t="shared" si="29"/>
        <v>0</v>
      </c>
      <c r="AT20" s="1">
        <f t="shared" si="29"/>
        <v>0</v>
      </c>
      <c r="AU20" s="1">
        <f t="shared" si="29"/>
        <v>0</v>
      </c>
      <c r="AV20" s="1">
        <f t="shared" si="29"/>
        <v>0</v>
      </c>
      <c r="AW20" s="1">
        <f t="shared" si="29"/>
        <v>0</v>
      </c>
      <c r="AX20" s="1">
        <f t="shared" si="29"/>
        <v>0</v>
      </c>
      <c r="AY20" s="1">
        <f t="shared" si="29"/>
        <v>0</v>
      </c>
      <c r="AZ20" s="1">
        <f t="shared" si="29"/>
        <v>0</v>
      </c>
      <c r="BA20" s="1">
        <f t="shared" si="29"/>
        <v>0</v>
      </c>
      <c r="BB20" s="1">
        <f t="shared" si="29"/>
        <v>0</v>
      </c>
      <c r="BC20" s="1">
        <f t="shared" si="29"/>
        <v>0</v>
      </c>
      <c r="BD20" s="1">
        <f t="shared" si="29"/>
        <v>0</v>
      </c>
      <c r="BE20" s="1">
        <f t="shared" si="29"/>
        <v>0</v>
      </c>
      <c r="BF20" s="1">
        <f t="shared" si="29"/>
        <v>0</v>
      </c>
      <c r="BG20" s="1">
        <f t="shared" si="29"/>
        <v>0</v>
      </c>
      <c r="BH20" s="1">
        <f t="shared" si="29"/>
        <v>0</v>
      </c>
      <c r="BI20" s="1">
        <f t="shared" si="29"/>
        <v>0</v>
      </c>
      <c r="BJ20" s="1">
        <f t="shared" si="29"/>
        <v>0</v>
      </c>
      <c r="BK20" s="1">
        <f t="shared" si="29"/>
        <v>0</v>
      </c>
      <c r="BL20" s="1">
        <f t="shared" si="29"/>
        <v>0</v>
      </c>
      <c r="BM20" s="1">
        <f t="shared" si="29"/>
        <v>0</v>
      </c>
      <c r="BN20" s="1">
        <f t="shared" ref="BN20:CS20" si="30">IF(MOD(COLUMN(),2)=0,IF(AND(COUNTIF(BN$3:BN$7,$AH$26),COUNTIF(BN$3:BN$7,$AJ34)),1,0),0)</f>
        <v>0</v>
      </c>
      <c r="BO20" s="1">
        <f t="shared" si="30"/>
        <v>0</v>
      </c>
      <c r="BP20" s="1">
        <f t="shared" si="30"/>
        <v>0</v>
      </c>
      <c r="BQ20" s="1">
        <f t="shared" si="30"/>
        <v>0</v>
      </c>
      <c r="BR20" s="1">
        <f t="shared" si="30"/>
        <v>0</v>
      </c>
      <c r="BS20" s="1">
        <f t="shared" si="30"/>
        <v>0</v>
      </c>
      <c r="BT20" s="1">
        <f t="shared" si="30"/>
        <v>0</v>
      </c>
      <c r="BU20" s="1">
        <f t="shared" si="30"/>
        <v>0</v>
      </c>
      <c r="BV20" s="1">
        <f t="shared" si="30"/>
        <v>0</v>
      </c>
      <c r="BW20" s="1">
        <f t="shared" si="30"/>
        <v>0</v>
      </c>
      <c r="BX20" s="1">
        <f t="shared" si="30"/>
        <v>0</v>
      </c>
      <c r="BY20" s="1">
        <f t="shared" si="30"/>
        <v>0</v>
      </c>
      <c r="BZ20" s="1">
        <f t="shared" si="30"/>
        <v>0</v>
      </c>
      <c r="CA20" s="1">
        <f t="shared" si="30"/>
        <v>0</v>
      </c>
      <c r="CB20" s="1">
        <f t="shared" si="30"/>
        <v>0</v>
      </c>
      <c r="CC20" s="1">
        <f t="shared" si="30"/>
        <v>0</v>
      </c>
      <c r="CD20" s="1">
        <f t="shared" si="30"/>
        <v>0</v>
      </c>
      <c r="CE20" s="1">
        <f t="shared" si="30"/>
        <v>0</v>
      </c>
      <c r="CF20" s="1">
        <f t="shared" si="30"/>
        <v>0</v>
      </c>
      <c r="CG20" s="1">
        <f t="shared" si="30"/>
        <v>0</v>
      </c>
      <c r="CH20" s="1">
        <f t="shared" si="30"/>
        <v>0</v>
      </c>
      <c r="CI20" s="1">
        <f t="shared" si="30"/>
        <v>0</v>
      </c>
      <c r="CJ20" s="1">
        <f t="shared" si="30"/>
        <v>0</v>
      </c>
      <c r="CK20" s="1">
        <f t="shared" si="30"/>
        <v>0</v>
      </c>
      <c r="CL20" s="1">
        <f t="shared" si="30"/>
        <v>0</v>
      </c>
      <c r="CM20" s="1">
        <f t="shared" si="30"/>
        <v>0</v>
      </c>
      <c r="CN20" s="1">
        <f t="shared" si="30"/>
        <v>0</v>
      </c>
      <c r="CO20" s="1">
        <f t="shared" si="30"/>
        <v>0</v>
      </c>
      <c r="CP20" s="1">
        <f t="shared" si="30"/>
        <v>0</v>
      </c>
      <c r="CQ20" s="1">
        <f t="shared" si="30"/>
        <v>0</v>
      </c>
      <c r="CR20" s="1">
        <f t="shared" si="30"/>
        <v>0</v>
      </c>
      <c r="CS20" s="1">
        <f t="shared" si="30"/>
        <v>0</v>
      </c>
      <c r="CT20" s="1">
        <f t="shared" ref="CT20:DG20" si="31">IF(MOD(COLUMN(),2)=0,IF(AND(COUNTIF(CT$3:CT$7,$AH$26),COUNTIF(CT$3:CT$7,$AJ34)),1,0),0)</f>
        <v>0</v>
      </c>
      <c r="CU20" s="1">
        <f t="shared" si="31"/>
        <v>0</v>
      </c>
      <c r="CV20" s="1">
        <f t="shared" si="31"/>
        <v>0</v>
      </c>
      <c r="CW20" s="1">
        <f t="shared" si="31"/>
        <v>0</v>
      </c>
      <c r="CX20" s="1">
        <f t="shared" si="31"/>
        <v>0</v>
      </c>
      <c r="CY20" s="1">
        <f t="shared" si="31"/>
        <v>0</v>
      </c>
      <c r="CZ20" s="1">
        <f t="shared" si="31"/>
        <v>0</v>
      </c>
      <c r="DA20" s="1">
        <f t="shared" si="31"/>
        <v>0</v>
      </c>
      <c r="DB20" s="1">
        <f t="shared" si="31"/>
        <v>0</v>
      </c>
      <c r="DC20" s="1">
        <f t="shared" si="31"/>
        <v>0</v>
      </c>
      <c r="DD20" s="1">
        <f t="shared" si="31"/>
        <v>0</v>
      </c>
      <c r="DE20" s="1">
        <f t="shared" si="31"/>
        <v>0</v>
      </c>
      <c r="DF20" s="1">
        <f t="shared" si="31"/>
        <v>0</v>
      </c>
      <c r="DG20" s="1">
        <f t="shared" si="31"/>
        <v>0</v>
      </c>
    </row>
    <row r="21" spans="1:111" s="20" customFormat="1" ht="7.5" hidden="1" customHeight="1" x14ac:dyDescent="0.3">
      <c r="B21" s="1">
        <f t="shared" ref="B21:AG21" si="32">IF(MOD(COLUMN(),2)=0,IF(AND(COUNTIF(B$3:B$7,$AH$26),COUNTIF(B$3:B$7,$AJ35)),1,0),0)</f>
        <v>0</v>
      </c>
      <c r="C21" s="1">
        <f t="shared" si="32"/>
        <v>0</v>
      </c>
      <c r="D21" s="1">
        <f t="shared" si="32"/>
        <v>0</v>
      </c>
      <c r="E21" s="1">
        <f t="shared" si="32"/>
        <v>0</v>
      </c>
      <c r="F21" s="1">
        <f t="shared" si="32"/>
        <v>0</v>
      </c>
      <c r="G21" s="1">
        <f t="shared" si="32"/>
        <v>0</v>
      </c>
      <c r="H21" s="1">
        <f t="shared" si="32"/>
        <v>0</v>
      </c>
      <c r="I21" s="1">
        <f t="shared" si="32"/>
        <v>0</v>
      </c>
      <c r="J21" s="1">
        <f t="shared" si="32"/>
        <v>0</v>
      </c>
      <c r="K21" s="1">
        <f t="shared" si="32"/>
        <v>0</v>
      </c>
      <c r="L21" s="1">
        <f t="shared" si="32"/>
        <v>0</v>
      </c>
      <c r="M21" s="1">
        <f t="shared" si="32"/>
        <v>0</v>
      </c>
      <c r="N21" s="1">
        <f t="shared" si="32"/>
        <v>0</v>
      </c>
      <c r="O21" s="1">
        <f t="shared" si="32"/>
        <v>0</v>
      </c>
      <c r="P21" s="1">
        <f t="shared" si="32"/>
        <v>0</v>
      </c>
      <c r="Q21" s="1">
        <f t="shared" si="32"/>
        <v>0</v>
      </c>
      <c r="R21" s="1">
        <f t="shared" si="32"/>
        <v>0</v>
      </c>
      <c r="S21" s="1">
        <f t="shared" si="32"/>
        <v>0</v>
      </c>
      <c r="T21" s="1">
        <f t="shared" si="32"/>
        <v>0</v>
      </c>
      <c r="U21" s="1">
        <f t="shared" si="32"/>
        <v>0</v>
      </c>
      <c r="V21" s="1">
        <f t="shared" si="32"/>
        <v>0</v>
      </c>
      <c r="W21" s="1">
        <f t="shared" si="32"/>
        <v>0</v>
      </c>
      <c r="X21" s="1">
        <f t="shared" si="32"/>
        <v>0</v>
      </c>
      <c r="Y21" s="1">
        <f t="shared" si="32"/>
        <v>0</v>
      </c>
      <c r="Z21" s="1">
        <f t="shared" si="32"/>
        <v>0</v>
      </c>
      <c r="AA21" s="1">
        <f t="shared" si="32"/>
        <v>0</v>
      </c>
      <c r="AB21" s="1">
        <f t="shared" si="32"/>
        <v>0</v>
      </c>
      <c r="AC21" s="1">
        <f t="shared" si="32"/>
        <v>0</v>
      </c>
      <c r="AD21" s="1">
        <f t="shared" si="32"/>
        <v>0</v>
      </c>
      <c r="AE21" s="1">
        <f t="shared" si="32"/>
        <v>0</v>
      </c>
      <c r="AF21" s="1">
        <f t="shared" si="32"/>
        <v>0</v>
      </c>
      <c r="AG21" s="1">
        <f t="shared" si="32"/>
        <v>0</v>
      </c>
      <c r="AH21" s="1">
        <f t="shared" ref="AH21:BM21" si="33">IF(MOD(COLUMN(),2)=0,IF(AND(COUNTIF(AH$3:AH$7,$AH$26),COUNTIF(AH$3:AH$7,$AJ35)),1,0),0)</f>
        <v>0</v>
      </c>
      <c r="AI21" s="1">
        <f t="shared" si="33"/>
        <v>0</v>
      </c>
      <c r="AJ21" s="1">
        <f t="shared" si="33"/>
        <v>0</v>
      </c>
      <c r="AK21" s="1">
        <f t="shared" si="33"/>
        <v>0</v>
      </c>
      <c r="AL21" s="1">
        <f t="shared" si="33"/>
        <v>0</v>
      </c>
      <c r="AM21" s="1">
        <f t="shared" si="33"/>
        <v>0</v>
      </c>
      <c r="AN21" s="1">
        <f t="shared" si="33"/>
        <v>0</v>
      </c>
      <c r="AO21" s="1">
        <f t="shared" si="33"/>
        <v>0</v>
      </c>
      <c r="AP21" s="1">
        <f t="shared" si="33"/>
        <v>0</v>
      </c>
      <c r="AQ21" s="1">
        <f t="shared" si="33"/>
        <v>0</v>
      </c>
      <c r="AR21" s="1">
        <f t="shared" si="33"/>
        <v>0</v>
      </c>
      <c r="AS21" s="1">
        <f t="shared" si="33"/>
        <v>0</v>
      </c>
      <c r="AT21" s="1">
        <f t="shared" si="33"/>
        <v>0</v>
      </c>
      <c r="AU21" s="1">
        <f t="shared" si="33"/>
        <v>0</v>
      </c>
      <c r="AV21" s="1">
        <f t="shared" si="33"/>
        <v>0</v>
      </c>
      <c r="AW21" s="1">
        <f t="shared" si="33"/>
        <v>0</v>
      </c>
      <c r="AX21" s="1">
        <f t="shared" si="33"/>
        <v>0</v>
      </c>
      <c r="AY21" s="1">
        <f t="shared" si="33"/>
        <v>0</v>
      </c>
      <c r="AZ21" s="1">
        <f t="shared" si="33"/>
        <v>0</v>
      </c>
      <c r="BA21" s="1">
        <f t="shared" si="33"/>
        <v>0</v>
      </c>
      <c r="BB21" s="1">
        <f t="shared" si="33"/>
        <v>0</v>
      </c>
      <c r="BC21" s="1">
        <f t="shared" si="33"/>
        <v>0</v>
      </c>
      <c r="BD21" s="1">
        <f t="shared" si="33"/>
        <v>0</v>
      </c>
      <c r="BE21" s="1">
        <f t="shared" si="33"/>
        <v>0</v>
      </c>
      <c r="BF21" s="1">
        <f t="shared" si="33"/>
        <v>0</v>
      </c>
      <c r="BG21" s="1">
        <f t="shared" si="33"/>
        <v>0</v>
      </c>
      <c r="BH21" s="1">
        <f t="shared" si="33"/>
        <v>0</v>
      </c>
      <c r="BI21" s="1">
        <f t="shared" si="33"/>
        <v>0</v>
      </c>
      <c r="BJ21" s="1">
        <f t="shared" si="33"/>
        <v>0</v>
      </c>
      <c r="BK21" s="1">
        <f t="shared" si="33"/>
        <v>0</v>
      </c>
      <c r="BL21" s="1">
        <f t="shared" si="33"/>
        <v>0</v>
      </c>
      <c r="BM21" s="1">
        <f t="shared" si="33"/>
        <v>0</v>
      </c>
      <c r="BN21" s="1">
        <f t="shared" ref="BN21:CS21" si="34">IF(MOD(COLUMN(),2)=0,IF(AND(COUNTIF(BN$3:BN$7,$AH$26),COUNTIF(BN$3:BN$7,$AJ35)),1,0),0)</f>
        <v>0</v>
      </c>
      <c r="BO21" s="1">
        <f t="shared" si="34"/>
        <v>0</v>
      </c>
      <c r="BP21" s="1">
        <f t="shared" si="34"/>
        <v>0</v>
      </c>
      <c r="BQ21" s="1">
        <f t="shared" si="34"/>
        <v>0</v>
      </c>
      <c r="BR21" s="1">
        <f t="shared" si="34"/>
        <v>0</v>
      </c>
      <c r="BS21" s="1">
        <f t="shared" si="34"/>
        <v>0</v>
      </c>
      <c r="BT21" s="1">
        <f t="shared" si="34"/>
        <v>0</v>
      </c>
      <c r="BU21" s="1">
        <f t="shared" si="34"/>
        <v>0</v>
      </c>
      <c r="BV21" s="1">
        <f t="shared" si="34"/>
        <v>0</v>
      </c>
      <c r="BW21" s="1">
        <f t="shared" si="34"/>
        <v>0</v>
      </c>
      <c r="BX21" s="1">
        <f t="shared" si="34"/>
        <v>0</v>
      </c>
      <c r="BY21" s="1">
        <f t="shared" si="34"/>
        <v>0</v>
      </c>
      <c r="BZ21" s="1">
        <f t="shared" si="34"/>
        <v>0</v>
      </c>
      <c r="CA21" s="1">
        <f t="shared" si="34"/>
        <v>0</v>
      </c>
      <c r="CB21" s="1">
        <f t="shared" si="34"/>
        <v>0</v>
      </c>
      <c r="CC21" s="1">
        <f t="shared" si="34"/>
        <v>0</v>
      </c>
      <c r="CD21" s="1">
        <f t="shared" si="34"/>
        <v>0</v>
      </c>
      <c r="CE21" s="1">
        <f t="shared" si="34"/>
        <v>0</v>
      </c>
      <c r="CF21" s="1">
        <f t="shared" si="34"/>
        <v>0</v>
      </c>
      <c r="CG21" s="1">
        <f t="shared" si="34"/>
        <v>0</v>
      </c>
      <c r="CH21" s="1">
        <f t="shared" si="34"/>
        <v>0</v>
      </c>
      <c r="CI21" s="1">
        <f t="shared" si="34"/>
        <v>0</v>
      </c>
      <c r="CJ21" s="1">
        <f t="shared" si="34"/>
        <v>0</v>
      </c>
      <c r="CK21" s="1">
        <f t="shared" si="34"/>
        <v>0</v>
      </c>
      <c r="CL21" s="1">
        <f t="shared" si="34"/>
        <v>0</v>
      </c>
      <c r="CM21" s="1">
        <f t="shared" si="34"/>
        <v>0</v>
      </c>
      <c r="CN21" s="1">
        <f t="shared" si="34"/>
        <v>0</v>
      </c>
      <c r="CO21" s="1">
        <f t="shared" si="34"/>
        <v>0</v>
      </c>
      <c r="CP21" s="1">
        <f t="shared" si="34"/>
        <v>0</v>
      </c>
      <c r="CQ21" s="1">
        <f t="shared" si="34"/>
        <v>0</v>
      </c>
      <c r="CR21" s="1">
        <f t="shared" si="34"/>
        <v>0</v>
      </c>
      <c r="CS21" s="1">
        <f t="shared" si="34"/>
        <v>0</v>
      </c>
      <c r="CT21" s="1">
        <f t="shared" ref="CT21:DG21" si="35">IF(MOD(COLUMN(),2)=0,IF(AND(COUNTIF(CT$3:CT$7,$AH$26),COUNTIF(CT$3:CT$7,$AJ35)),1,0),0)</f>
        <v>0</v>
      </c>
      <c r="CU21" s="1">
        <f t="shared" si="35"/>
        <v>0</v>
      </c>
      <c r="CV21" s="1">
        <f t="shared" si="35"/>
        <v>0</v>
      </c>
      <c r="CW21" s="1">
        <f t="shared" si="35"/>
        <v>0</v>
      </c>
      <c r="CX21" s="1">
        <f t="shared" si="35"/>
        <v>0</v>
      </c>
      <c r="CY21" s="1">
        <f t="shared" si="35"/>
        <v>0</v>
      </c>
      <c r="CZ21" s="1">
        <f t="shared" si="35"/>
        <v>0</v>
      </c>
      <c r="DA21" s="1">
        <f t="shared" si="35"/>
        <v>0</v>
      </c>
      <c r="DB21" s="1">
        <f t="shared" si="35"/>
        <v>0</v>
      </c>
      <c r="DC21" s="1">
        <f t="shared" si="35"/>
        <v>0</v>
      </c>
      <c r="DD21" s="1">
        <f t="shared" si="35"/>
        <v>0</v>
      </c>
      <c r="DE21" s="1">
        <f t="shared" si="35"/>
        <v>0</v>
      </c>
      <c r="DF21" s="1">
        <f t="shared" si="35"/>
        <v>0</v>
      </c>
      <c r="DG21" s="1">
        <f t="shared" si="35"/>
        <v>0</v>
      </c>
    </row>
    <row r="22" spans="1:111" s="20" customFormat="1" ht="7.5" hidden="1" customHeight="1" x14ac:dyDescent="0.3">
      <c r="B22" s="1">
        <f t="shared" ref="B22:AG22" si="36">IF(MOD(COLUMN(),2)=0,IF(AND(COUNTIF(B$3:B$7,$AH$26),COUNTIF(B$3:B$7,$AJ36)),1,0),0)</f>
        <v>0</v>
      </c>
      <c r="C22" s="1">
        <f t="shared" si="36"/>
        <v>0</v>
      </c>
      <c r="D22" s="1">
        <f t="shared" si="36"/>
        <v>0</v>
      </c>
      <c r="E22" s="1">
        <f t="shared" si="36"/>
        <v>0</v>
      </c>
      <c r="F22" s="1">
        <f t="shared" si="36"/>
        <v>0</v>
      </c>
      <c r="G22" s="1">
        <f t="shared" si="36"/>
        <v>0</v>
      </c>
      <c r="H22" s="1">
        <f t="shared" si="36"/>
        <v>0</v>
      </c>
      <c r="I22" s="1">
        <f t="shared" si="36"/>
        <v>0</v>
      </c>
      <c r="J22" s="1">
        <f t="shared" si="36"/>
        <v>0</v>
      </c>
      <c r="K22" s="1">
        <f t="shared" si="36"/>
        <v>0</v>
      </c>
      <c r="L22" s="1">
        <f t="shared" si="36"/>
        <v>0</v>
      </c>
      <c r="M22" s="1">
        <f t="shared" si="36"/>
        <v>0</v>
      </c>
      <c r="N22" s="1">
        <f t="shared" si="36"/>
        <v>0</v>
      </c>
      <c r="O22" s="1">
        <f t="shared" si="36"/>
        <v>0</v>
      </c>
      <c r="P22" s="1">
        <f t="shared" si="36"/>
        <v>0</v>
      </c>
      <c r="Q22" s="1">
        <f t="shared" si="36"/>
        <v>0</v>
      </c>
      <c r="R22" s="1">
        <f t="shared" si="36"/>
        <v>0</v>
      </c>
      <c r="S22" s="1">
        <f t="shared" si="36"/>
        <v>0</v>
      </c>
      <c r="T22" s="1">
        <f t="shared" si="36"/>
        <v>0</v>
      </c>
      <c r="U22" s="1">
        <f t="shared" si="36"/>
        <v>0</v>
      </c>
      <c r="V22" s="1">
        <f t="shared" si="36"/>
        <v>0</v>
      </c>
      <c r="W22" s="1">
        <f t="shared" si="36"/>
        <v>0</v>
      </c>
      <c r="X22" s="1">
        <f t="shared" si="36"/>
        <v>0</v>
      </c>
      <c r="Y22" s="1">
        <f t="shared" si="36"/>
        <v>0</v>
      </c>
      <c r="Z22" s="1">
        <f t="shared" si="36"/>
        <v>0</v>
      </c>
      <c r="AA22" s="1">
        <f t="shared" si="36"/>
        <v>0</v>
      </c>
      <c r="AB22" s="1">
        <f t="shared" si="36"/>
        <v>0</v>
      </c>
      <c r="AC22" s="1">
        <f t="shared" si="36"/>
        <v>0</v>
      </c>
      <c r="AD22" s="1">
        <f t="shared" si="36"/>
        <v>0</v>
      </c>
      <c r="AE22" s="1">
        <f t="shared" si="36"/>
        <v>0</v>
      </c>
      <c r="AF22" s="1">
        <f t="shared" si="36"/>
        <v>0</v>
      </c>
      <c r="AG22" s="1">
        <f t="shared" si="36"/>
        <v>0</v>
      </c>
      <c r="AH22" s="1">
        <f t="shared" ref="AH22:BM22" si="37">IF(MOD(COLUMN(),2)=0,IF(AND(COUNTIF(AH$3:AH$7,$AH$26),COUNTIF(AH$3:AH$7,$AJ36)),1,0),0)</f>
        <v>0</v>
      </c>
      <c r="AI22" s="1">
        <f t="shared" si="37"/>
        <v>0</v>
      </c>
      <c r="AJ22" s="1">
        <f t="shared" si="37"/>
        <v>0</v>
      </c>
      <c r="AK22" s="1">
        <f t="shared" si="37"/>
        <v>0</v>
      </c>
      <c r="AL22" s="1">
        <f t="shared" si="37"/>
        <v>0</v>
      </c>
      <c r="AM22" s="1">
        <f t="shared" si="37"/>
        <v>0</v>
      </c>
      <c r="AN22" s="1">
        <f t="shared" si="37"/>
        <v>0</v>
      </c>
      <c r="AO22" s="1">
        <f t="shared" si="37"/>
        <v>0</v>
      </c>
      <c r="AP22" s="1">
        <f t="shared" si="37"/>
        <v>0</v>
      </c>
      <c r="AQ22" s="1">
        <f t="shared" si="37"/>
        <v>0</v>
      </c>
      <c r="AR22" s="1">
        <f t="shared" si="37"/>
        <v>0</v>
      </c>
      <c r="AS22" s="1">
        <f t="shared" si="37"/>
        <v>0</v>
      </c>
      <c r="AT22" s="1">
        <f t="shared" si="37"/>
        <v>0</v>
      </c>
      <c r="AU22" s="1">
        <f t="shared" si="37"/>
        <v>0</v>
      </c>
      <c r="AV22" s="1">
        <f t="shared" si="37"/>
        <v>0</v>
      </c>
      <c r="AW22" s="1">
        <f t="shared" si="37"/>
        <v>0</v>
      </c>
      <c r="AX22" s="1">
        <f t="shared" si="37"/>
        <v>0</v>
      </c>
      <c r="AY22" s="1">
        <f t="shared" si="37"/>
        <v>0</v>
      </c>
      <c r="AZ22" s="1">
        <f t="shared" si="37"/>
        <v>0</v>
      </c>
      <c r="BA22" s="1">
        <f t="shared" si="37"/>
        <v>0</v>
      </c>
      <c r="BB22" s="1">
        <f t="shared" si="37"/>
        <v>0</v>
      </c>
      <c r="BC22" s="1">
        <f t="shared" si="37"/>
        <v>0</v>
      </c>
      <c r="BD22" s="1">
        <f t="shared" si="37"/>
        <v>0</v>
      </c>
      <c r="BE22" s="1">
        <f t="shared" si="37"/>
        <v>0</v>
      </c>
      <c r="BF22" s="1">
        <f t="shared" si="37"/>
        <v>0</v>
      </c>
      <c r="BG22" s="1">
        <f t="shared" si="37"/>
        <v>0</v>
      </c>
      <c r="BH22" s="1">
        <f t="shared" si="37"/>
        <v>0</v>
      </c>
      <c r="BI22" s="1">
        <f t="shared" si="37"/>
        <v>0</v>
      </c>
      <c r="BJ22" s="1">
        <f t="shared" si="37"/>
        <v>0</v>
      </c>
      <c r="BK22" s="1">
        <f t="shared" si="37"/>
        <v>0</v>
      </c>
      <c r="BL22" s="1">
        <f t="shared" si="37"/>
        <v>0</v>
      </c>
      <c r="BM22" s="1">
        <f t="shared" si="37"/>
        <v>0</v>
      </c>
      <c r="BN22" s="1">
        <f t="shared" ref="BN22:CS22" si="38">IF(MOD(COLUMN(),2)=0,IF(AND(COUNTIF(BN$3:BN$7,$AH$26),COUNTIF(BN$3:BN$7,$AJ36)),1,0),0)</f>
        <v>0</v>
      </c>
      <c r="BO22" s="1">
        <f t="shared" si="38"/>
        <v>0</v>
      </c>
      <c r="BP22" s="1">
        <f t="shared" si="38"/>
        <v>0</v>
      </c>
      <c r="BQ22" s="1">
        <f t="shared" si="38"/>
        <v>0</v>
      </c>
      <c r="BR22" s="1">
        <f t="shared" si="38"/>
        <v>0</v>
      </c>
      <c r="BS22" s="1">
        <f t="shared" si="38"/>
        <v>0</v>
      </c>
      <c r="BT22" s="1">
        <f t="shared" si="38"/>
        <v>0</v>
      </c>
      <c r="BU22" s="1">
        <f t="shared" si="38"/>
        <v>0</v>
      </c>
      <c r="BV22" s="1">
        <f t="shared" si="38"/>
        <v>0</v>
      </c>
      <c r="BW22" s="1">
        <f t="shared" si="38"/>
        <v>0</v>
      </c>
      <c r="BX22" s="1">
        <f t="shared" si="38"/>
        <v>0</v>
      </c>
      <c r="BY22" s="1">
        <f t="shared" si="38"/>
        <v>0</v>
      </c>
      <c r="BZ22" s="1">
        <f t="shared" si="38"/>
        <v>0</v>
      </c>
      <c r="CA22" s="1">
        <f t="shared" si="38"/>
        <v>0</v>
      </c>
      <c r="CB22" s="1">
        <f t="shared" si="38"/>
        <v>0</v>
      </c>
      <c r="CC22" s="1">
        <f t="shared" si="38"/>
        <v>0</v>
      </c>
      <c r="CD22" s="1">
        <f t="shared" si="38"/>
        <v>0</v>
      </c>
      <c r="CE22" s="1">
        <f t="shared" si="38"/>
        <v>0</v>
      </c>
      <c r="CF22" s="1">
        <f t="shared" si="38"/>
        <v>0</v>
      </c>
      <c r="CG22" s="1">
        <f t="shared" si="38"/>
        <v>0</v>
      </c>
      <c r="CH22" s="1">
        <f t="shared" si="38"/>
        <v>0</v>
      </c>
      <c r="CI22" s="1">
        <f t="shared" si="38"/>
        <v>0</v>
      </c>
      <c r="CJ22" s="1">
        <f t="shared" si="38"/>
        <v>0</v>
      </c>
      <c r="CK22" s="1">
        <f t="shared" si="38"/>
        <v>0</v>
      </c>
      <c r="CL22" s="1">
        <f t="shared" si="38"/>
        <v>0</v>
      </c>
      <c r="CM22" s="1">
        <f t="shared" si="38"/>
        <v>0</v>
      </c>
      <c r="CN22" s="1">
        <f t="shared" si="38"/>
        <v>0</v>
      </c>
      <c r="CO22" s="1">
        <f t="shared" si="38"/>
        <v>0</v>
      </c>
      <c r="CP22" s="1">
        <f t="shared" si="38"/>
        <v>0</v>
      </c>
      <c r="CQ22" s="1">
        <f t="shared" si="38"/>
        <v>0</v>
      </c>
      <c r="CR22" s="1">
        <f t="shared" si="38"/>
        <v>0</v>
      </c>
      <c r="CS22" s="1">
        <f t="shared" si="38"/>
        <v>0</v>
      </c>
      <c r="CT22" s="1">
        <f t="shared" ref="CT22:DG22" si="39">IF(MOD(COLUMN(),2)=0,IF(AND(COUNTIF(CT$3:CT$7,$AH$26),COUNTIF(CT$3:CT$7,$AJ36)),1,0),0)</f>
        <v>0</v>
      </c>
      <c r="CU22" s="1">
        <f t="shared" si="39"/>
        <v>0</v>
      </c>
      <c r="CV22" s="1">
        <f t="shared" si="39"/>
        <v>0</v>
      </c>
      <c r="CW22" s="1">
        <f t="shared" si="39"/>
        <v>0</v>
      </c>
      <c r="CX22" s="1">
        <f t="shared" si="39"/>
        <v>0</v>
      </c>
      <c r="CY22" s="1">
        <f t="shared" si="39"/>
        <v>0</v>
      </c>
      <c r="CZ22" s="1">
        <f t="shared" si="39"/>
        <v>0</v>
      </c>
      <c r="DA22" s="1">
        <f t="shared" si="39"/>
        <v>0</v>
      </c>
      <c r="DB22" s="1">
        <f t="shared" si="39"/>
        <v>0</v>
      </c>
      <c r="DC22" s="1">
        <f t="shared" si="39"/>
        <v>0</v>
      </c>
      <c r="DD22" s="1">
        <f t="shared" si="39"/>
        <v>0</v>
      </c>
      <c r="DE22" s="1">
        <f t="shared" si="39"/>
        <v>0</v>
      </c>
      <c r="DF22" s="1">
        <f t="shared" si="39"/>
        <v>0</v>
      </c>
      <c r="DG22" s="1">
        <f t="shared" si="39"/>
        <v>0</v>
      </c>
    </row>
    <row r="23" spans="1:111" s="20" customFormat="1" ht="7.5" hidden="1" customHeight="1" x14ac:dyDescent="0.3">
      <c r="B23" s="1">
        <f t="shared" ref="B23:AG23" si="40">IF(MOD(COLUMN(),2)=0,IF(AND(COUNTIF(B$3:B$7,$AH$26),COUNTIF(B$3:B$7,$AJ37)),1,0),0)</f>
        <v>0</v>
      </c>
      <c r="C23" s="1">
        <f t="shared" si="40"/>
        <v>0</v>
      </c>
      <c r="D23" s="1">
        <f t="shared" si="40"/>
        <v>0</v>
      </c>
      <c r="E23" s="1">
        <f t="shared" si="40"/>
        <v>0</v>
      </c>
      <c r="F23" s="1">
        <f t="shared" si="40"/>
        <v>0</v>
      </c>
      <c r="G23" s="1">
        <f t="shared" si="40"/>
        <v>0</v>
      </c>
      <c r="H23" s="1">
        <f t="shared" si="40"/>
        <v>0</v>
      </c>
      <c r="I23" s="1">
        <f t="shared" si="40"/>
        <v>0</v>
      </c>
      <c r="J23" s="1">
        <f t="shared" si="40"/>
        <v>0</v>
      </c>
      <c r="K23" s="1">
        <f t="shared" si="40"/>
        <v>0</v>
      </c>
      <c r="L23" s="1">
        <f t="shared" si="40"/>
        <v>0</v>
      </c>
      <c r="M23" s="1">
        <f t="shared" si="40"/>
        <v>0</v>
      </c>
      <c r="N23" s="1">
        <f t="shared" si="40"/>
        <v>0</v>
      </c>
      <c r="O23" s="1">
        <f t="shared" si="40"/>
        <v>0</v>
      </c>
      <c r="P23" s="1">
        <f t="shared" si="40"/>
        <v>0</v>
      </c>
      <c r="Q23" s="1">
        <f t="shared" si="40"/>
        <v>0</v>
      </c>
      <c r="R23" s="1">
        <f t="shared" si="40"/>
        <v>0</v>
      </c>
      <c r="S23" s="1">
        <f t="shared" si="40"/>
        <v>0</v>
      </c>
      <c r="T23" s="1">
        <f t="shared" si="40"/>
        <v>0</v>
      </c>
      <c r="U23" s="1">
        <f t="shared" si="40"/>
        <v>0</v>
      </c>
      <c r="V23" s="1">
        <f t="shared" si="40"/>
        <v>0</v>
      </c>
      <c r="W23" s="1">
        <f t="shared" si="40"/>
        <v>0</v>
      </c>
      <c r="X23" s="1">
        <f t="shared" si="40"/>
        <v>0</v>
      </c>
      <c r="Y23" s="1">
        <f t="shared" si="40"/>
        <v>0</v>
      </c>
      <c r="Z23" s="1">
        <f t="shared" si="40"/>
        <v>0</v>
      </c>
      <c r="AA23" s="1">
        <f t="shared" si="40"/>
        <v>0</v>
      </c>
      <c r="AB23" s="1">
        <f t="shared" si="40"/>
        <v>0</v>
      </c>
      <c r="AC23" s="1">
        <f t="shared" si="40"/>
        <v>0</v>
      </c>
      <c r="AD23" s="1">
        <f t="shared" si="40"/>
        <v>0</v>
      </c>
      <c r="AE23" s="1">
        <f t="shared" si="40"/>
        <v>0</v>
      </c>
      <c r="AF23" s="1">
        <f t="shared" si="40"/>
        <v>0</v>
      </c>
      <c r="AG23" s="1">
        <f t="shared" si="40"/>
        <v>0</v>
      </c>
      <c r="AH23" s="1">
        <f t="shared" ref="AH23:BM23" si="41">IF(MOD(COLUMN(),2)=0,IF(AND(COUNTIF(AH$3:AH$7,$AH$26),COUNTIF(AH$3:AH$7,$AJ37)),1,0),0)</f>
        <v>0</v>
      </c>
      <c r="AI23" s="1">
        <f t="shared" si="41"/>
        <v>0</v>
      </c>
      <c r="AJ23" s="1">
        <f t="shared" si="41"/>
        <v>0</v>
      </c>
      <c r="AK23" s="1">
        <f t="shared" si="41"/>
        <v>0</v>
      </c>
      <c r="AL23" s="1">
        <f t="shared" si="41"/>
        <v>0</v>
      </c>
      <c r="AM23" s="1">
        <f t="shared" si="41"/>
        <v>0</v>
      </c>
      <c r="AN23" s="1">
        <f t="shared" si="41"/>
        <v>0</v>
      </c>
      <c r="AO23" s="1">
        <f t="shared" si="41"/>
        <v>0</v>
      </c>
      <c r="AP23" s="1">
        <f t="shared" si="41"/>
        <v>0</v>
      </c>
      <c r="AQ23" s="1">
        <f t="shared" si="41"/>
        <v>0</v>
      </c>
      <c r="AR23" s="1">
        <f t="shared" si="41"/>
        <v>0</v>
      </c>
      <c r="AS23" s="1">
        <f t="shared" si="41"/>
        <v>0</v>
      </c>
      <c r="AT23" s="1">
        <f t="shared" si="41"/>
        <v>0</v>
      </c>
      <c r="AU23" s="1">
        <f t="shared" si="41"/>
        <v>0</v>
      </c>
      <c r="AV23" s="1">
        <f t="shared" si="41"/>
        <v>0</v>
      </c>
      <c r="AW23" s="1">
        <f t="shared" si="41"/>
        <v>0</v>
      </c>
      <c r="AX23" s="1">
        <f t="shared" si="41"/>
        <v>0</v>
      </c>
      <c r="AY23" s="1">
        <f t="shared" si="41"/>
        <v>0</v>
      </c>
      <c r="AZ23" s="1">
        <f t="shared" si="41"/>
        <v>0</v>
      </c>
      <c r="BA23" s="1">
        <f t="shared" si="41"/>
        <v>0</v>
      </c>
      <c r="BB23" s="1">
        <f t="shared" si="41"/>
        <v>0</v>
      </c>
      <c r="BC23" s="1">
        <f t="shared" si="41"/>
        <v>0</v>
      </c>
      <c r="BD23" s="1">
        <f t="shared" si="41"/>
        <v>0</v>
      </c>
      <c r="BE23" s="1">
        <f t="shared" si="41"/>
        <v>0</v>
      </c>
      <c r="BF23" s="1">
        <f t="shared" si="41"/>
        <v>0</v>
      </c>
      <c r="BG23" s="1">
        <f t="shared" si="41"/>
        <v>0</v>
      </c>
      <c r="BH23" s="1">
        <f t="shared" si="41"/>
        <v>0</v>
      </c>
      <c r="BI23" s="1">
        <f t="shared" si="41"/>
        <v>0</v>
      </c>
      <c r="BJ23" s="1">
        <f t="shared" si="41"/>
        <v>0</v>
      </c>
      <c r="BK23" s="1">
        <f t="shared" si="41"/>
        <v>0</v>
      </c>
      <c r="BL23" s="1">
        <f t="shared" si="41"/>
        <v>0</v>
      </c>
      <c r="BM23" s="1">
        <f t="shared" si="41"/>
        <v>0</v>
      </c>
      <c r="BN23" s="1">
        <f t="shared" ref="BN23:CS23" si="42">IF(MOD(COLUMN(),2)=0,IF(AND(COUNTIF(BN$3:BN$7,$AH$26),COUNTIF(BN$3:BN$7,$AJ37)),1,0),0)</f>
        <v>0</v>
      </c>
      <c r="BO23" s="1">
        <f t="shared" si="42"/>
        <v>0</v>
      </c>
      <c r="BP23" s="1">
        <f t="shared" si="42"/>
        <v>0</v>
      </c>
      <c r="BQ23" s="1">
        <f t="shared" si="42"/>
        <v>0</v>
      </c>
      <c r="BR23" s="1">
        <f t="shared" si="42"/>
        <v>0</v>
      </c>
      <c r="BS23" s="1">
        <f t="shared" si="42"/>
        <v>0</v>
      </c>
      <c r="BT23" s="1">
        <f t="shared" si="42"/>
        <v>0</v>
      </c>
      <c r="BU23" s="1">
        <f t="shared" si="42"/>
        <v>0</v>
      </c>
      <c r="BV23" s="1">
        <f t="shared" si="42"/>
        <v>0</v>
      </c>
      <c r="BW23" s="1">
        <f t="shared" si="42"/>
        <v>0</v>
      </c>
      <c r="BX23" s="1">
        <f t="shared" si="42"/>
        <v>0</v>
      </c>
      <c r="BY23" s="1">
        <f t="shared" si="42"/>
        <v>0</v>
      </c>
      <c r="BZ23" s="1">
        <f t="shared" si="42"/>
        <v>0</v>
      </c>
      <c r="CA23" s="1">
        <f t="shared" si="42"/>
        <v>0</v>
      </c>
      <c r="CB23" s="1">
        <f t="shared" si="42"/>
        <v>0</v>
      </c>
      <c r="CC23" s="1">
        <f t="shared" si="42"/>
        <v>0</v>
      </c>
      <c r="CD23" s="1">
        <f t="shared" si="42"/>
        <v>0</v>
      </c>
      <c r="CE23" s="1">
        <f t="shared" si="42"/>
        <v>0</v>
      </c>
      <c r="CF23" s="1">
        <f t="shared" si="42"/>
        <v>0</v>
      </c>
      <c r="CG23" s="1">
        <f t="shared" si="42"/>
        <v>0</v>
      </c>
      <c r="CH23" s="1">
        <f t="shared" si="42"/>
        <v>0</v>
      </c>
      <c r="CI23" s="1">
        <f t="shared" si="42"/>
        <v>0</v>
      </c>
      <c r="CJ23" s="1">
        <f t="shared" si="42"/>
        <v>0</v>
      </c>
      <c r="CK23" s="1">
        <f t="shared" si="42"/>
        <v>0</v>
      </c>
      <c r="CL23" s="1">
        <f t="shared" si="42"/>
        <v>0</v>
      </c>
      <c r="CM23" s="1">
        <f t="shared" si="42"/>
        <v>0</v>
      </c>
      <c r="CN23" s="1">
        <f t="shared" si="42"/>
        <v>0</v>
      </c>
      <c r="CO23" s="1">
        <f t="shared" si="42"/>
        <v>0</v>
      </c>
      <c r="CP23" s="1">
        <f t="shared" si="42"/>
        <v>0</v>
      </c>
      <c r="CQ23" s="1">
        <f t="shared" si="42"/>
        <v>0</v>
      </c>
      <c r="CR23" s="1">
        <f t="shared" si="42"/>
        <v>0</v>
      </c>
      <c r="CS23" s="1">
        <f t="shared" si="42"/>
        <v>0</v>
      </c>
      <c r="CT23" s="1">
        <f t="shared" ref="CT23:DG23" si="43">IF(MOD(COLUMN(),2)=0,IF(AND(COUNTIF(CT$3:CT$7,$AH$26),COUNTIF(CT$3:CT$7,$AJ37)),1,0),0)</f>
        <v>0</v>
      </c>
      <c r="CU23" s="1">
        <f t="shared" si="43"/>
        <v>0</v>
      </c>
      <c r="CV23" s="1">
        <f t="shared" si="43"/>
        <v>0</v>
      </c>
      <c r="CW23" s="1">
        <f t="shared" si="43"/>
        <v>0</v>
      </c>
      <c r="CX23" s="1">
        <f t="shared" si="43"/>
        <v>0</v>
      </c>
      <c r="CY23" s="1">
        <f t="shared" si="43"/>
        <v>0</v>
      </c>
      <c r="CZ23" s="1">
        <f t="shared" si="43"/>
        <v>0</v>
      </c>
      <c r="DA23" s="1">
        <f t="shared" si="43"/>
        <v>0</v>
      </c>
      <c r="DB23" s="1">
        <f t="shared" si="43"/>
        <v>0</v>
      </c>
      <c r="DC23" s="1">
        <f t="shared" si="43"/>
        <v>0</v>
      </c>
      <c r="DD23" s="1">
        <f t="shared" si="43"/>
        <v>0</v>
      </c>
      <c r="DE23" s="1">
        <f t="shared" si="43"/>
        <v>0</v>
      </c>
      <c r="DF23" s="1">
        <f t="shared" si="43"/>
        <v>0</v>
      </c>
      <c r="DG23" s="1">
        <f t="shared" si="43"/>
        <v>0</v>
      </c>
    </row>
    <row r="24" spans="1:111" s="20" customFormat="1" ht="7.5" customHeight="1" thickBot="1" x14ac:dyDescent="0.35">
      <c r="AY24" s="1"/>
    </row>
    <row r="25" spans="1:111" s="8" customFormat="1" ht="7.5" customHeight="1" thickBot="1" x14ac:dyDescent="0.35">
      <c r="A25" s="20"/>
      <c r="B25" s="1"/>
      <c r="C25" s="1"/>
      <c r="D25" s="20" t="s">
        <v>41</v>
      </c>
      <c r="E25" s="20"/>
      <c r="F25" s="8" t="s">
        <v>29</v>
      </c>
      <c r="H25" s="8" t="s">
        <v>42</v>
      </c>
      <c r="J25" s="20" t="str">
        <f>"+/-"</f>
        <v>+/-</v>
      </c>
      <c r="K25" s="1"/>
      <c r="L25" s="1" t="s">
        <v>39</v>
      </c>
      <c r="M25" s="1"/>
      <c r="N25" s="1"/>
      <c r="O25" s="1"/>
      <c r="P25" s="1"/>
      <c r="Q25" s="1"/>
      <c r="R25" s="1"/>
      <c r="S25" s="1"/>
      <c r="T25" s="1"/>
      <c r="V25" s="1"/>
      <c r="W25" s="1"/>
      <c r="X25" s="20" t="s">
        <v>41</v>
      </c>
      <c r="Y25" s="20"/>
      <c r="Z25" s="8" t="s">
        <v>43</v>
      </c>
      <c r="AB25" s="8" t="s">
        <v>44</v>
      </c>
      <c r="AD25" s="20" t="s">
        <v>41</v>
      </c>
      <c r="AE25" s="20"/>
      <c r="AF25" s="20" t="str">
        <f>"+/-"</f>
        <v>+/-</v>
      </c>
      <c r="AG25" s="39"/>
      <c r="AH25" s="34"/>
      <c r="AI25" s="34" t="s">
        <v>37</v>
      </c>
      <c r="AJ25" s="34"/>
      <c r="AK25" s="34"/>
      <c r="AL25" s="34"/>
      <c r="AM25" s="34"/>
      <c r="AN25" s="34"/>
      <c r="AO25" s="34"/>
      <c r="AP25" s="34"/>
      <c r="AQ25" s="34"/>
      <c r="AR25" s="34"/>
      <c r="AS25" s="34"/>
      <c r="AT25" s="34"/>
      <c r="AU25" s="34"/>
      <c r="AV25" s="34"/>
      <c r="AW25" s="34"/>
      <c r="AX25" s="34"/>
      <c r="AY25" s="34"/>
      <c r="AZ25" s="34"/>
      <c r="BA25" s="34"/>
      <c r="BB25" s="34"/>
      <c r="BC25" s="34"/>
      <c r="BD25" s="34"/>
      <c r="BE25" s="34"/>
      <c r="BF25" s="34"/>
      <c r="BG25" s="34"/>
      <c r="BH25" s="34"/>
      <c r="BI25" s="40"/>
    </row>
    <row r="26" spans="1:111" s="4" customFormat="1" ht="11" customHeight="1" thickTop="1" thickBot="1" x14ac:dyDescent="0.35">
      <c r="B26" s="4" t="s">
        <v>32</v>
      </c>
      <c r="C26" s="24">
        <v>1</v>
      </c>
      <c r="D26" s="1">
        <f t="shared" ref="D26:D37" ca="1" si="44">SUMIF($N$26:$N$51,$B26,$X$26:$X$51)+SUMIF($P$26:$P$51,$B26,$X$26:$X$51)+SUMIF($R$26:$R$51,$B26,$X$26:$X$51)+SUMIF($T$26:$T$48,$B26,$X$26:$X$51)+SUMIF($V$26:$V$48,$B26,$X$26:$X$51)</f>
        <v>0</v>
      </c>
      <c r="F26" s="1" t="str">
        <f t="shared" ref="F26:F37" ca="1" si="45">IF(D26=0,"",(SUMIF($N$26:$N$53,$B26,$Z$26:$Z$53)+SUMIF($P$26:$P$53,$B26,$Z$26:$Z$53)+SUMIF($R$26:$R$53,$B26,$Z$26:$Z$53)+SUMIF($T$26:$T$53,$B26,$Z$26:$Z$53)+SUMIF($V$26:$V$53,$B26,$Z$26:$Z$53)))</f>
        <v/>
      </c>
      <c r="H26" s="1" t="str">
        <f t="shared" ref="H26:H37" ca="1" si="46">IF(D26=0,"",(SUMIF($N$26:$N$54,$B26,$AB$26:$AB$54)+SUMIF($P$26:$P$54,$B26,$AB$26:$AB$54)+SUMIF($R$26:$R$54,$B26,$AB$26:$AB$54)+SUMIF($T$26:$T$54,$B26,$AB$26:$AB$54)+SUMIF($V$26:$V$54,$B26,$AB$26:$AB$54)))</f>
        <v/>
      </c>
      <c r="J26" s="1" t="str">
        <f ca="1">IF(D26=0,"",F26-H26)</f>
        <v/>
      </c>
      <c r="L26" s="33" t="str">
        <f t="array" aca="1" ref="L26" ca="1">IFERROR(INDEX($A$8:$DG$8, MATCH(0, COUNTIF($L$25:L25, $A$8:$DG$8&amp;"") + IF($A$8:$DG$8="",1,0), 0)), "")</f>
        <v/>
      </c>
      <c r="N26" s="6" t="str">
        <f t="shared" ref="N26:N48" ca="1" si="47">IFERROR(INDEX($B:$B,25+LEFT($L26,SEARCH(" ",$L26)-1)),"")</f>
        <v/>
      </c>
      <c r="P26" s="1" t="str">
        <f t="shared" ref="P26:P48" ca="1" si="48">IFERROR(INDEX($B:$B,25+MID($L26,SEARCH(" ",$L26)+1,SEARCH(" ",$L26,SEARCH(" ",$L26)+1)-SEARCH(" ",$L26)-1)),"")</f>
        <v/>
      </c>
      <c r="Q26" s="1"/>
      <c r="R26" s="1" t="str">
        <f t="shared" ref="R26:R48" ca="1" si="49">IFERROR(INDEX($B:$B,25+MID($L26,SEARCH(" ",$L26,SEARCH(" ",$L26)+1)+1,SEARCH(" ",$L26,SEARCH(" ",$L26,SEARCH(" ",$L26)+1)+1)-SEARCH(" ",$L26,SEARCH(" ",$L26)+1)-1)),"")</f>
        <v/>
      </c>
      <c r="T26" s="1" t="str">
        <f t="shared" ref="T26:T48" ca="1" si="50">IFERROR(INDEX($B:$B,25+MID($L26,SEARCH(" ",$L26,SEARCH(" ",$L26,SEARCH(" ",$L26)+1)+1)+1,SEARCH(" ",$L26,SEARCH(" ",$L26,SEARCH(" ",$L26,SEARCH(" ",$L26)+1)+1)+1)-SEARCH(" ",$L26,SEARCH(" ",$L26,SEARCH(" ",$L26)+1)+1)-1)),"")</f>
        <v/>
      </c>
      <c r="V26" s="1" t="str">
        <f t="shared" ref="V26:V48" ca="1" si="51">IFERROR(INDEX($B:$B,25+MID($L26,SEARCH(" ",$L26,SEARCH(" ",$L26,SEARCH(" ",$L26,SEARCH(" ",$L26)+1)+1)+1)+1,2)),"")</f>
        <v/>
      </c>
      <c r="X26" s="6"/>
      <c r="Z26" s="6"/>
      <c r="AB26" s="6"/>
      <c r="AD26" s="45">
        <f>SUM(X26:X50)</f>
        <v>0</v>
      </c>
      <c r="AE26" s="46"/>
      <c r="AF26" s="45">
        <f>SUM(Z26:Z50)-SUM(AB26:AB50)</f>
        <v>0</v>
      </c>
      <c r="AG26" s="35"/>
      <c r="AH26" s="31" t="s">
        <v>34</v>
      </c>
      <c r="AI26" s="1"/>
      <c r="AJ26" s="4" t="s">
        <v>32</v>
      </c>
      <c r="AK26" s="1"/>
      <c r="AL26" s="1" t="str">
        <f t="shared" ref="AL26:AL37" si="52">IF(SUM(B11:DF11)&lt;&gt;0,SUM(B11:DF11),"")</f>
        <v/>
      </c>
      <c r="AN26" s="1" t="str">
        <f t="shared" ref="AN26:AN37" si="53">IFERROR(IF($AJ26&lt;&gt;$AH$26,$AL26*100/LOOKUP($AH$26,$AJ$26:$AJ$37,$AL$26:$AL$37),""),"")</f>
        <v/>
      </c>
      <c r="AP26" s="29"/>
      <c r="AQ26" s="29"/>
      <c r="AR26" s="29"/>
      <c r="AS26" s="29"/>
      <c r="AT26" s="29"/>
      <c r="AU26" s="29"/>
      <c r="AV26" s="29"/>
      <c r="AW26" s="30"/>
      <c r="AX26" s="29"/>
      <c r="AY26" s="30"/>
      <c r="AZ26" s="29"/>
      <c r="BA26" s="30"/>
      <c r="BB26" s="29"/>
      <c r="BC26" s="29"/>
      <c r="BD26" s="29"/>
      <c r="BE26" s="30"/>
      <c r="BF26" s="29"/>
      <c r="BG26" s="30"/>
      <c r="BH26" s="29"/>
      <c r="BI26" s="41"/>
    </row>
    <row r="27" spans="1:111" s="4" customFormat="1" ht="11" customHeight="1" thickTop="1" x14ac:dyDescent="0.3">
      <c r="B27" s="4" t="s">
        <v>33</v>
      </c>
      <c r="C27" s="24">
        <v>2</v>
      </c>
      <c r="D27" s="1">
        <f t="shared" ca="1" si="44"/>
        <v>0</v>
      </c>
      <c r="F27" s="1" t="str">
        <f t="shared" ca="1" si="45"/>
        <v/>
      </c>
      <c r="H27" s="1" t="str">
        <f t="shared" ca="1" si="46"/>
        <v/>
      </c>
      <c r="J27" s="1" t="str">
        <f t="shared" ref="J27:J37" ca="1" si="54">IF(D27=0,"",F27-H27)</f>
        <v/>
      </c>
      <c r="L27" s="33" t="str">
        <f t="array" aca="1" ref="L27" ca="1">IFERROR(INDEX($A$8:$DG$8, MATCH(0, COUNTIF($L$25:L26, $A$8:$DG$8&amp;"") + IF($A$8:$DG$8="",1,0), 0)), "")</f>
        <v/>
      </c>
      <c r="N27" s="6" t="str">
        <f t="shared" ca="1" si="47"/>
        <v/>
      </c>
      <c r="P27" s="1" t="str">
        <f t="shared" ca="1" si="48"/>
        <v/>
      </c>
      <c r="Q27" s="1"/>
      <c r="R27" s="1" t="str">
        <f t="shared" ca="1" si="49"/>
        <v/>
      </c>
      <c r="T27" s="1" t="str">
        <f t="shared" ca="1" si="50"/>
        <v/>
      </c>
      <c r="V27" s="1" t="str">
        <f t="shared" ca="1" si="51"/>
        <v/>
      </c>
      <c r="X27" s="6"/>
      <c r="Z27" s="6"/>
      <c r="AB27" s="6"/>
      <c r="AG27" s="35"/>
      <c r="AJ27" s="4" t="s">
        <v>33</v>
      </c>
      <c r="AL27" s="1" t="str">
        <f t="shared" si="52"/>
        <v/>
      </c>
      <c r="AN27" s="1" t="str">
        <f t="shared" si="53"/>
        <v/>
      </c>
      <c r="AP27" s="29"/>
      <c r="AQ27" s="29"/>
      <c r="AR27" s="29"/>
      <c r="AS27" s="29"/>
      <c r="AT27" s="29"/>
      <c r="AU27" s="29"/>
      <c r="AV27" s="29"/>
      <c r="AW27" s="30"/>
      <c r="AX27" s="29"/>
      <c r="AY27" s="30"/>
      <c r="AZ27" s="29"/>
      <c r="BA27" s="30"/>
      <c r="BB27" s="29"/>
      <c r="BC27" s="29"/>
      <c r="BD27" s="29"/>
      <c r="BE27" s="30"/>
      <c r="BF27" s="29"/>
      <c r="BG27" s="30"/>
      <c r="BH27" s="29"/>
      <c r="BI27" s="41"/>
    </row>
    <row r="28" spans="1:111" s="4" customFormat="1" ht="11" customHeight="1" x14ac:dyDescent="0.3">
      <c r="B28" s="4" t="s">
        <v>38</v>
      </c>
      <c r="C28" s="24">
        <v>3</v>
      </c>
      <c r="D28" s="1">
        <f t="shared" ca="1" si="44"/>
        <v>0</v>
      </c>
      <c r="F28" s="1" t="str">
        <f t="shared" ca="1" si="45"/>
        <v/>
      </c>
      <c r="H28" s="1" t="str">
        <f t="shared" ca="1" si="46"/>
        <v/>
      </c>
      <c r="J28" s="1" t="str">
        <f t="shared" ref="J28" ca="1" si="55">IF(D28=0,"",F28-H28)</f>
        <v/>
      </c>
      <c r="L28" s="33" t="str">
        <f t="array" aca="1" ref="L28" ca="1">IFERROR(INDEX($A$8:$DG$8, MATCH(0, COUNTIF($L$25:L27, $A$8:$DG$8&amp;"") + IF($A$8:$DG$8="",1,0), 0)), "")</f>
        <v/>
      </c>
      <c r="N28" s="6" t="str">
        <f t="shared" ca="1" si="47"/>
        <v/>
      </c>
      <c r="P28" s="1" t="str">
        <f t="shared" ca="1" si="48"/>
        <v/>
      </c>
      <c r="Q28" s="1"/>
      <c r="R28" s="1" t="str">
        <f t="shared" ca="1" si="49"/>
        <v/>
      </c>
      <c r="T28" s="1" t="str">
        <f t="shared" ca="1" si="50"/>
        <v/>
      </c>
      <c r="V28" s="1" t="str">
        <f t="shared" ca="1" si="51"/>
        <v/>
      </c>
      <c r="X28" s="6"/>
      <c r="Z28" s="6"/>
      <c r="AB28" s="6"/>
      <c r="AG28" s="35"/>
      <c r="AJ28" s="4" t="s">
        <v>46</v>
      </c>
      <c r="AL28" s="1" t="str">
        <f t="shared" si="52"/>
        <v/>
      </c>
      <c r="AN28" s="1" t="str">
        <f t="shared" si="53"/>
        <v/>
      </c>
      <c r="AP28" s="29"/>
      <c r="AQ28" s="29"/>
      <c r="AR28" s="29"/>
      <c r="AS28" s="29"/>
      <c r="AT28" s="29"/>
      <c r="AU28" s="29"/>
      <c r="AV28" s="29"/>
      <c r="AW28" s="30"/>
      <c r="AX28" s="29"/>
      <c r="AY28" s="30"/>
      <c r="AZ28" s="29"/>
      <c r="BA28" s="30"/>
      <c r="BB28" s="29"/>
      <c r="BC28" s="29"/>
      <c r="BD28" s="29"/>
      <c r="BE28" s="30"/>
      <c r="BF28" s="29"/>
      <c r="BG28" s="30"/>
      <c r="BH28" s="29"/>
      <c r="BI28" s="41"/>
    </row>
    <row r="29" spans="1:111" s="4" customFormat="1" ht="11" customHeight="1" x14ac:dyDescent="0.3">
      <c r="B29" s="4" t="s">
        <v>46</v>
      </c>
      <c r="C29" s="24">
        <v>3</v>
      </c>
      <c r="D29" s="1">
        <f t="shared" ca="1" si="44"/>
        <v>0</v>
      </c>
      <c r="F29" s="1" t="str">
        <f t="shared" ca="1" si="45"/>
        <v/>
      </c>
      <c r="H29" s="1" t="str">
        <f t="shared" ca="1" si="46"/>
        <v/>
      </c>
      <c r="J29" s="1" t="str">
        <f t="shared" ca="1" si="54"/>
        <v/>
      </c>
      <c r="L29" s="33" t="str">
        <f t="array" aca="1" ref="L29" ca="1">IFERROR(INDEX($A$8:$DG$8, MATCH(0, COUNTIF($L$25:L28, $A$8:$DG$8&amp;"") + IF($A$8:$DG$8="",1,0), 0)), "")</f>
        <v/>
      </c>
      <c r="N29" s="6" t="str">
        <f t="shared" ca="1" si="47"/>
        <v/>
      </c>
      <c r="P29" s="1" t="str">
        <f t="shared" ca="1" si="48"/>
        <v/>
      </c>
      <c r="Q29" s="1"/>
      <c r="R29" s="1" t="str">
        <f t="shared" ca="1" si="49"/>
        <v/>
      </c>
      <c r="T29" s="1" t="str">
        <f t="shared" ca="1" si="50"/>
        <v/>
      </c>
      <c r="V29" s="1" t="str">
        <f t="shared" ca="1" si="51"/>
        <v/>
      </c>
      <c r="X29" s="6"/>
      <c r="Z29" s="6"/>
      <c r="AB29" s="6"/>
      <c r="AG29" s="35"/>
      <c r="AJ29" s="4" t="s">
        <v>46</v>
      </c>
      <c r="AL29" s="1" t="str">
        <f t="shared" si="52"/>
        <v/>
      </c>
      <c r="AN29" s="1" t="str">
        <f t="shared" si="53"/>
        <v/>
      </c>
      <c r="AP29" s="29"/>
      <c r="AQ29" s="29"/>
      <c r="AR29" s="29"/>
      <c r="AS29" s="29"/>
      <c r="AT29" s="29"/>
      <c r="AU29" s="29"/>
      <c r="AV29" s="29"/>
      <c r="AW29" s="30"/>
      <c r="AX29" s="29"/>
      <c r="AY29" s="30"/>
      <c r="AZ29" s="29"/>
      <c r="BA29" s="30"/>
      <c r="BB29" s="29"/>
      <c r="BC29" s="29"/>
      <c r="BD29" s="29"/>
      <c r="BE29" s="30"/>
      <c r="BF29" s="29"/>
      <c r="BG29" s="30"/>
      <c r="BH29" s="29"/>
      <c r="BI29" s="41"/>
    </row>
    <row r="30" spans="1:111" s="4" customFormat="1" ht="11" customHeight="1" x14ac:dyDescent="0.3">
      <c r="B30" s="4" t="s">
        <v>1</v>
      </c>
      <c r="C30" s="24"/>
      <c r="D30" s="1">
        <f t="shared" ca="1" si="44"/>
        <v>0</v>
      </c>
      <c r="F30" s="1" t="str">
        <f t="shared" ca="1" si="45"/>
        <v/>
      </c>
      <c r="H30" s="1" t="str">
        <f t="shared" ca="1" si="46"/>
        <v/>
      </c>
      <c r="J30" s="1" t="str">
        <f t="shared" ca="1" si="54"/>
        <v/>
      </c>
      <c r="L30" s="33" t="str">
        <f t="array" aca="1" ref="L30" ca="1">IFERROR(INDEX($A$8:$DG$8, MATCH(0, COUNTIF($L$25:L29, $A$8:$DG$8&amp;"") + IF($A$8:$DG$8="",1,0), 0)), "")</f>
        <v/>
      </c>
      <c r="N30" s="6" t="str">
        <f t="shared" ca="1" si="47"/>
        <v/>
      </c>
      <c r="P30" s="1" t="str">
        <f t="shared" ca="1" si="48"/>
        <v/>
      </c>
      <c r="Q30" s="1"/>
      <c r="R30" s="1" t="str">
        <f t="shared" ca="1" si="49"/>
        <v/>
      </c>
      <c r="T30" s="1" t="str">
        <f t="shared" ca="1" si="50"/>
        <v/>
      </c>
      <c r="V30" s="1" t="str">
        <f t="shared" ca="1" si="51"/>
        <v/>
      </c>
      <c r="X30" s="6"/>
      <c r="Z30" s="6"/>
      <c r="AB30" s="6"/>
      <c r="AG30" s="42"/>
      <c r="AJ30" s="4" t="s">
        <v>1</v>
      </c>
      <c r="AL30" s="1" t="str">
        <f t="shared" si="52"/>
        <v/>
      </c>
      <c r="AN30" s="1" t="str">
        <f t="shared" si="53"/>
        <v/>
      </c>
      <c r="AP30" s="29"/>
      <c r="AQ30" s="29"/>
      <c r="AR30" s="29"/>
      <c r="AS30" s="29"/>
      <c r="AT30" s="29"/>
      <c r="AU30" s="29"/>
      <c r="AV30" s="29"/>
      <c r="AW30" s="30"/>
      <c r="AX30" s="29"/>
      <c r="AY30" s="30"/>
      <c r="AZ30" s="29"/>
      <c r="BA30" s="30"/>
      <c r="BB30" s="29"/>
      <c r="BC30" s="29"/>
      <c r="BD30" s="29"/>
      <c r="BE30" s="30"/>
      <c r="BF30" s="29"/>
      <c r="BG30" s="30"/>
      <c r="BH30" s="29"/>
      <c r="BI30" s="41"/>
    </row>
    <row r="31" spans="1:111" s="4" customFormat="1" ht="11" customHeight="1" x14ac:dyDescent="0.3">
      <c r="B31" s="4" t="s">
        <v>34</v>
      </c>
      <c r="C31" s="24">
        <v>4</v>
      </c>
      <c r="D31" s="1">
        <f t="shared" ca="1" si="44"/>
        <v>0</v>
      </c>
      <c r="F31" s="1" t="str">
        <f t="shared" ca="1" si="45"/>
        <v/>
      </c>
      <c r="H31" s="1" t="str">
        <f t="shared" ca="1" si="46"/>
        <v/>
      </c>
      <c r="J31" s="1" t="str">
        <f t="shared" ref="J31" ca="1" si="56">IF(D31=0,"",F31-H31)</f>
        <v/>
      </c>
      <c r="L31" s="33" t="str">
        <f t="array" aca="1" ref="L31" ca="1">IFERROR(INDEX($A$8:$DG$8, MATCH(0, COUNTIF($L$25:L30, $A$8:$DG$8&amp;"") + IF($A$8:$DG$8="",1,0), 0)), "")</f>
        <v/>
      </c>
      <c r="N31" s="6" t="str">
        <f t="shared" ca="1" si="47"/>
        <v/>
      </c>
      <c r="P31" s="1" t="str">
        <f t="shared" ca="1" si="48"/>
        <v/>
      </c>
      <c r="Q31" s="1"/>
      <c r="R31" s="1" t="str">
        <f t="shared" ca="1" si="49"/>
        <v/>
      </c>
      <c r="T31" s="1" t="str">
        <f t="shared" ca="1" si="50"/>
        <v/>
      </c>
      <c r="V31" s="1" t="str">
        <f t="shared" ca="1" si="51"/>
        <v/>
      </c>
      <c r="X31" s="6"/>
      <c r="Z31" s="6"/>
      <c r="AB31" s="6"/>
      <c r="AG31" s="35"/>
      <c r="AJ31" s="4" t="s">
        <v>34</v>
      </c>
      <c r="AL31" s="1" t="str">
        <f t="shared" si="52"/>
        <v/>
      </c>
      <c r="AN31" s="1" t="str">
        <f t="shared" si="53"/>
        <v/>
      </c>
      <c r="AP31" s="29"/>
      <c r="AQ31" s="29"/>
      <c r="AR31" s="29"/>
      <c r="AS31" s="29"/>
      <c r="AT31" s="29"/>
      <c r="AU31" s="29"/>
      <c r="AV31" s="29"/>
      <c r="AW31" s="30"/>
      <c r="AX31" s="29"/>
      <c r="AY31" s="30"/>
      <c r="AZ31" s="29"/>
      <c r="BA31" s="30"/>
      <c r="BB31" s="29"/>
      <c r="BC31" s="29"/>
      <c r="BD31" s="29"/>
      <c r="BE31" s="30"/>
      <c r="BF31" s="29"/>
      <c r="BG31" s="30"/>
      <c r="BH31" s="29"/>
      <c r="BI31" s="41"/>
    </row>
    <row r="32" spans="1:111" s="4" customFormat="1" ht="11" customHeight="1" x14ac:dyDescent="0.3">
      <c r="B32" s="4" t="s">
        <v>35</v>
      </c>
      <c r="C32" s="24">
        <v>5</v>
      </c>
      <c r="D32" s="1">
        <f t="shared" ca="1" si="44"/>
        <v>0</v>
      </c>
      <c r="F32" s="1" t="str">
        <f t="shared" ca="1" si="45"/>
        <v/>
      </c>
      <c r="H32" s="1" t="str">
        <f t="shared" ca="1" si="46"/>
        <v/>
      </c>
      <c r="J32" s="1" t="str">
        <f t="shared" ref="J32" ca="1" si="57">IF(D32=0,"",F32-H32)</f>
        <v/>
      </c>
      <c r="L32" s="33" t="str">
        <f t="array" aca="1" ref="L32" ca="1">IFERROR(INDEX($A$8:$DG$8, MATCH(0, COUNTIF($L$25:L31, $A$8:$DG$8&amp;"") + IF($A$8:$DG$8="",1,0), 0)), "")</f>
        <v/>
      </c>
      <c r="N32" s="6" t="str">
        <f t="shared" ca="1" si="47"/>
        <v/>
      </c>
      <c r="P32" s="1" t="str">
        <f t="shared" ca="1" si="48"/>
        <v/>
      </c>
      <c r="Q32" s="1"/>
      <c r="R32" s="1" t="str">
        <f t="shared" ca="1" si="49"/>
        <v/>
      </c>
      <c r="T32" s="1" t="str">
        <f t="shared" ca="1" si="50"/>
        <v/>
      </c>
      <c r="V32" s="1" t="str">
        <f t="shared" ca="1" si="51"/>
        <v/>
      </c>
      <c r="X32" s="6"/>
      <c r="Z32" s="6"/>
      <c r="AB32" s="6"/>
      <c r="AG32" s="35"/>
      <c r="AJ32" s="4" t="s">
        <v>35</v>
      </c>
      <c r="AL32" s="1" t="str">
        <f t="shared" si="52"/>
        <v/>
      </c>
      <c r="AN32" s="1" t="str">
        <f t="shared" si="53"/>
        <v/>
      </c>
      <c r="AP32" s="29"/>
      <c r="AQ32" s="29"/>
      <c r="AR32" s="29"/>
      <c r="AS32" s="29"/>
      <c r="AT32" s="29"/>
      <c r="AU32" s="29"/>
      <c r="AV32" s="29"/>
      <c r="AW32" s="30"/>
      <c r="AX32" s="29"/>
      <c r="AY32" s="30"/>
      <c r="AZ32" s="29"/>
      <c r="BA32" s="30"/>
      <c r="BB32" s="29"/>
      <c r="BC32" s="29"/>
      <c r="BD32" s="29"/>
      <c r="BE32" s="30"/>
      <c r="BF32" s="29"/>
      <c r="BG32" s="30"/>
      <c r="BH32" s="29"/>
      <c r="BI32" s="41"/>
    </row>
    <row r="33" spans="2:68" s="4" customFormat="1" ht="11" customHeight="1" x14ac:dyDescent="0.3">
      <c r="B33" s="4" t="s">
        <v>36</v>
      </c>
      <c r="C33" s="24">
        <v>5</v>
      </c>
      <c r="D33" s="1">
        <f t="shared" ca="1" si="44"/>
        <v>0</v>
      </c>
      <c r="F33" s="1" t="str">
        <f t="shared" ca="1" si="45"/>
        <v/>
      </c>
      <c r="H33" s="1" t="str">
        <f t="shared" ca="1" si="46"/>
        <v/>
      </c>
      <c r="J33" s="1" t="str">
        <f t="shared" ca="1" si="54"/>
        <v/>
      </c>
      <c r="L33" s="33" t="str">
        <f t="array" aca="1" ref="L33" ca="1">IFERROR(INDEX($A$8:$DG$8, MATCH(0, COUNTIF($L$25:L32, $A$8:$DG$8&amp;"") + IF($A$8:$DG$8="",1,0), 0)), "")</f>
        <v/>
      </c>
      <c r="N33" s="6" t="str">
        <f t="shared" ca="1" si="47"/>
        <v/>
      </c>
      <c r="P33" s="1" t="str">
        <f t="shared" ca="1" si="48"/>
        <v/>
      </c>
      <c r="Q33" s="1"/>
      <c r="R33" s="1" t="str">
        <f t="shared" ca="1" si="49"/>
        <v/>
      </c>
      <c r="T33" s="1" t="str">
        <f t="shared" ca="1" si="50"/>
        <v/>
      </c>
      <c r="V33" s="1" t="str">
        <f t="shared" ca="1" si="51"/>
        <v/>
      </c>
      <c r="X33" s="6"/>
      <c r="Z33" s="6"/>
      <c r="AB33" s="6"/>
      <c r="AG33" s="35"/>
      <c r="AJ33" s="4" t="s">
        <v>36</v>
      </c>
      <c r="AL33" s="1" t="str">
        <f t="shared" si="52"/>
        <v/>
      </c>
      <c r="AN33" s="1" t="str">
        <f t="shared" si="53"/>
        <v/>
      </c>
      <c r="AP33" s="29"/>
      <c r="AQ33" s="29"/>
      <c r="AR33" s="29"/>
      <c r="AS33" s="29"/>
      <c r="AT33" s="29"/>
      <c r="AU33" s="29"/>
      <c r="AV33" s="29"/>
      <c r="AW33" s="30"/>
      <c r="AX33" s="29"/>
      <c r="AY33" s="30"/>
      <c r="AZ33" s="29"/>
      <c r="BA33" s="30"/>
      <c r="BB33" s="29"/>
      <c r="BC33" s="29"/>
      <c r="BD33" s="29"/>
      <c r="BE33" s="30"/>
      <c r="BF33" s="29"/>
      <c r="BG33" s="30"/>
      <c r="BH33" s="29"/>
      <c r="BI33" s="41"/>
    </row>
    <row r="34" spans="2:68" s="4" customFormat="1" ht="11" customHeight="1" x14ac:dyDescent="0.3">
      <c r="B34" s="4" t="s">
        <v>0</v>
      </c>
      <c r="C34" s="24"/>
      <c r="D34" s="1">
        <f t="shared" ca="1" si="44"/>
        <v>0</v>
      </c>
      <c r="F34" s="1" t="str">
        <f t="shared" ca="1" si="45"/>
        <v/>
      </c>
      <c r="H34" s="1" t="str">
        <f t="shared" ca="1" si="46"/>
        <v/>
      </c>
      <c r="J34" s="1" t="str">
        <f t="shared" ref="J34" ca="1" si="58">IF(D34=0,"",F34-H34)</f>
        <v/>
      </c>
      <c r="L34" s="33" t="str">
        <f t="array" aca="1" ref="L34" ca="1">IFERROR(INDEX($A$8:$DG$8, MATCH(0, COUNTIF($L$25:L33, $A$8:$DG$8&amp;"") + IF($A$8:$DG$8="",1,0), 0)), "")</f>
        <v/>
      </c>
      <c r="N34" s="6" t="str">
        <f t="shared" ca="1" si="47"/>
        <v/>
      </c>
      <c r="P34" s="1" t="str">
        <f t="shared" ca="1" si="48"/>
        <v/>
      </c>
      <c r="Q34" s="1"/>
      <c r="R34" s="1" t="str">
        <f t="shared" ca="1" si="49"/>
        <v/>
      </c>
      <c r="T34" s="1" t="str">
        <f t="shared" ca="1" si="50"/>
        <v/>
      </c>
      <c r="V34" s="1" t="str">
        <f t="shared" ca="1" si="51"/>
        <v/>
      </c>
      <c r="X34" s="6"/>
      <c r="Z34" s="6"/>
      <c r="AB34" s="6"/>
      <c r="AG34" s="35"/>
      <c r="AJ34" s="4" t="s">
        <v>0</v>
      </c>
      <c r="AL34" s="1" t="str">
        <f t="shared" si="52"/>
        <v/>
      </c>
      <c r="AN34" s="1" t="str">
        <f t="shared" si="53"/>
        <v/>
      </c>
      <c r="AP34" s="29"/>
      <c r="AQ34" s="29"/>
      <c r="AR34" s="29"/>
      <c r="AS34" s="29"/>
      <c r="AT34" s="29"/>
      <c r="AU34" s="29"/>
      <c r="AV34" s="29"/>
      <c r="AW34" s="30"/>
      <c r="AX34" s="29"/>
      <c r="AY34" s="30"/>
      <c r="AZ34" s="29"/>
      <c r="BA34" s="30"/>
      <c r="BB34" s="29"/>
      <c r="BC34" s="29"/>
      <c r="BD34" s="29"/>
      <c r="BE34" s="30"/>
      <c r="BF34" s="29"/>
      <c r="BG34" s="30"/>
      <c r="BH34" s="29"/>
      <c r="BI34" s="41"/>
    </row>
    <row r="35" spans="2:68" s="4" customFormat="1" ht="11" customHeight="1" x14ac:dyDescent="0.3">
      <c r="B35" s="4" t="s">
        <v>58</v>
      </c>
      <c r="C35" s="24"/>
      <c r="D35" s="1">
        <f t="shared" ca="1" si="44"/>
        <v>0</v>
      </c>
      <c r="F35" s="1" t="str">
        <f t="shared" ca="1" si="45"/>
        <v/>
      </c>
      <c r="H35" s="1" t="str">
        <f t="shared" ca="1" si="46"/>
        <v/>
      </c>
      <c r="J35" s="1" t="str">
        <f t="shared" ca="1" si="54"/>
        <v/>
      </c>
      <c r="L35" s="33" t="str">
        <f t="array" aca="1" ref="L35" ca="1">IFERROR(INDEX($A$8:$DG$8, MATCH(0, COUNTIF($L$25:L34, $A$8:$DG$8&amp;"") + IF($A$8:$DG$8="",1,0), 0)), "")</f>
        <v/>
      </c>
      <c r="N35" s="6" t="str">
        <f t="shared" ca="1" si="47"/>
        <v/>
      </c>
      <c r="P35" s="1" t="str">
        <f t="shared" ca="1" si="48"/>
        <v/>
      </c>
      <c r="Q35" s="1"/>
      <c r="R35" s="1" t="str">
        <f t="shared" ca="1" si="49"/>
        <v/>
      </c>
      <c r="T35" s="1" t="str">
        <f t="shared" ca="1" si="50"/>
        <v/>
      </c>
      <c r="V35" s="1" t="str">
        <f t="shared" ca="1" si="51"/>
        <v/>
      </c>
      <c r="X35" s="6"/>
      <c r="Z35" s="6"/>
      <c r="AB35" s="6"/>
      <c r="AG35" s="35"/>
      <c r="AJ35" s="4" t="s">
        <v>58</v>
      </c>
      <c r="AL35" s="1" t="str">
        <f t="shared" si="52"/>
        <v/>
      </c>
      <c r="AN35" s="1" t="str">
        <f t="shared" si="53"/>
        <v/>
      </c>
      <c r="AP35" s="29"/>
      <c r="AQ35" s="29"/>
      <c r="AR35" s="29"/>
      <c r="AS35" s="29"/>
      <c r="AT35" s="29"/>
      <c r="AU35" s="29"/>
      <c r="AV35" s="29"/>
      <c r="AW35" s="30"/>
      <c r="AX35" s="29"/>
      <c r="AY35" s="30"/>
      <c r="AZ35" s="29"/>
      <c r="BA35" s="30"/>
      <c r="BB35" s="29"/>
      <c r="BC35" s="29"/>
      <c r="BD35" s="29"/>
      <c r="BE35" s="30"/>
      <c r="BF35" s="29"/>
      <c r="BG35" s="30"/>
      <c r="BH35" s="29"/>
      <c r="BI35" s="41"/>
    </row>
    <row r="36" spans="2:68" s="4" customFormat="1" ht="11" customHeight="1" x14ac:dyDescent="0.3">
      <c r="B36" s="4" t="s">
        <v>2</v>
      </c>
      <c r="C36" s="24">
        <v>6</v>
      </c>
      <c r="D36" s="1">
        <f t="shared" ca="1" si="44"/>
        <v>0</v>
      </c>
      <c r="F36" s="1" t="str">
        <f t="shared" ca="1" si="45"/>
        <v/>
      </c>
      <c r="H36" s="1" t="str">
        <f t="shared" ca="1" si="46"/>
        <v/>
      </c>
      <c r="J36" s="1" t="str">
        <f t="shared" ca="1" si="54"/>
        <v/>
      </c>
      <c r="L36" s="33" t="str">
        <f t="array" aca="1" ref="L36" ca="1">IFERROR(INDEX($A$8:$DG$8, MATCH(0, COUNTIF($L$25:L35, $A$8:$DG$8&amp;"") + IF($A$8:$DG$8="",1,0), 0)), "")</f>
        <v/>
      </c>
      <c r="N36" s="6" t="str">
        <f t="shared" ca="1" si="47"/>
        <v/>
      </c>
      <c r="P36" s="1" t="str">
        <f t="shared" ca="1" si="48"/>
        <v/>
      </c>
      <c r="Q36" s="1"/>
      <c r="R36" s="1" t="str">
        <f t="shared" ca="1" si="49"/>
        <v/>
      </c>
      <c r="T36" s="1" t="str">
        <f t="shared" ca="1" si="50"/>
        <v/>
      </c>
      <c r="V36" s="1" t="str">
        <f t="shared" ca="1" si="51"/>
        <v/>
      </c>
      <c r="X36" s="6"/>
      <c r="Z36" s="1"/>
      <c r="AB36" s="6"/>
      <c r="AG36" s="35"/>
      <c r="AJ36" s="4" t="s">
        <v>2</v>
      </c>
      <c r="AL36" s="1" t="str">
        <f t="shared" si="52"/>
        <v/>
      </c>
      <c r="AN36" s="1" t="str">
        <f t="shared" si="53"/>
        <v/>
      </c>
      <c r="AP36" s="29"/>
      <c r="AQ36" s="29"/>
      <c r="AR36" s="29"/>
      <c r="AS36" s="29"/>
      <c r="AT36" s="29"/>
      <c r="AU36" s="29"/>
      <c r="AV36" s="29"/>
      <c r="AW36" s="30"/>
      <c r="AX36" s="29"/>
      <c r="AY36" s="30"/>
      <c r="AZ36" s="29"/>
      <c r="BA36" s="30"/>
      <c r="BB36" s="29"/>
      <c r="BC36" s="29"/>
      <c r="BD36" s="29"/>
      <c r="BE36" s="30"/>
      <c r="BF36" s="29"/>
      <c r="BG36" s="30"/>
      <c r="BH36" s="29"/>
      <c r="BI36" s="41"/>
    </row>
    <row r="37" spans="2:68" s="4" customFormat="1" ht="11" customHeight="1" x14ac:dyDescent="0.3">
      <c r="B37" s="4" t="s">
        <v>57</v>
      </c>
      <c r="C37" s="24">
        <v>7</v>
      </c>
      <c r="D37" s="1">
        <f t="shared" ca="1" si="44"/>
        <v>0</v>
      </c>
      <c r="F37" s="1" t="str">
        <f t="shared" ca="1" si="45"/>
        <v/>
      </c>
      <c r="H37" s="1" t="str">
        <f t="shared" ca="1" si="46"/>
        <v/>
      </c>
      <c r="J37" s="1" t="str">
        <f t="shared" ca="1" si="54"/>
        <v/>
      </c>
      <c r="L37" s="33" t="str">
        <f t="array" aca="1" ref="L37" ca="1">IFERROR(INDEX($A$8:$DG$8, MATCH(0, COUNTIF($L$25:L36, $A$8:$DG$8&amp;"") + IF($A$8:$DG$8="",1,0), 0)), "")</f>
        <v/>
      </c>
      <c r="N37" s="6" t="str">
        <f t="shared" ca="1" si="47"/>
        <v/>
      </c>
      <c r="P37" s="1" t="str">
        <f t="shared" ca="1" si="48"/>
        <v/>
      </c>
      <c r="Q37" s="1"/>
      <c r="R37" s="1" t="str">
        <f t="shared" ca="1" si="49"/>
        <v/>
      </c>
      <c r="T37" s="1" t="str">
        <f t="shared" ca="1" si="50"/>
        <v/>
      </c>
      <c r="V37" s="1" t="str">
        <f t="shared" ca="1" si="51"/>
        <v/>
      </c>
      <c r="X37" s="6"/>
      <c r="Z37" s="1"/>
      <c r="AB37" s="6"/>
      <c r="AG37" s="35"/>
      <c r="AJ37" s="4" t="s">
        <v>57</v>
      </c>
      <c r="AL37" s="1" t="str">
        <f t="shared" si="52"/>
        <v/>
      </c>
      <c r="AN37" s="1" t="str">
        <f t="shared" si="53"/>
        <v/>
      </c>
      <c r="AP37" s="29"/>
      <c r="AQ37" s="29"/>
      <c r="AR37" s="29"/>
      <c r="AS37" s="29"/>
      <c r="AT37" s="29"/>
      <c r="AU37" s="29"/>
      <c r="AV37" s="29"/>
      <c r="AW37" s="30"/>
      <c r="AX37" s="29"/>
      <c r="AY37" s="30"/>
      <c r="AZ37" s="29"/>
      <c r="BA37" s="30"/>
      <c r="BB37" s="29"/>
      <c r="BC37" s="29"/>
      <c r="BD37" s="29"/>
      <c r="BE37" s="30"/>
      <c r="BF37" s="29"/>
      <c r="BG37" s="30"/>
      <c r="BH37" s="29"/>
      <c r="BI37" s="41"/>
    </row>
    <row r="38" spans="2:68" s="4" customFormat="1" ht="11" customHeight="1" thickBot="1" x14ac:dyDescent="0.35">
      <c r="C38" s="1"/>
      <c r="D38" s="1"/>
      <c r="G38" s="1"/>
      <c r="H38" s="1"/>
      <c r="I38" s="1"/>
      <c r="L38" s="33" t="str">
        <f t="array" aca="1" ref="L38" ca="1">IFERROR(INDEX($A$8:$DG$8, MATCH(0, COUNTIF($L$25:L37, $A$8:$DG$8&amp;"") + IF($A$8:$DG$8="",1,0), 0)), "")</f>
        <v/>
      </c>
      <c r="N38" s="6" t="str">
        <f t="shared" ca="1" si="47"/>
        <v/>
      </c>
      <c r="P38" s="1" t="str">
        <f t="shared" ca="1" si="48"/>
        <v/>
      </c>
      <c r="Q38" s="1"/>
      <c r="R38" s="1" t="str">
        <f t="shared" ca="1" si="49"/>
        <v/>
      </c>
      <c r="T38" s="1" t="str">
        <f t="shared" ca="1" si="50"/>
        <v/>
      </c>
      <c r="V38" s="1" t="str">
        <f t="shared" ca="1" si="51"/>
        <v/>
      </c>
      <c r="X38" s="6"/>
      <c r="Z38" s="1"/>
      <c r="AB38" s="6"/>
      <c r="AG38" s="36"/>
      <c r="AH38" s="37"/>
      <c r="AI38" s="37"/>
      <c r="AJ38" s="37"/>
      <c r="AK38" s="37"/>
      <c r="AL38" s="37"/>
      <c r="AM38" s="37"/>
      <c r="AN38" s="37"/>
      <c r="AO38" s="37"/>
      <c r="AP38" s="37"/>
      <c r="AQ38" s="38"/>
      <c r="AR38" s="38"/>
      <c r="AS38" s="38"/>
      <c r="AT38" s="38"/>
      <c r="AU38" s="38"/>
      <c r="AV38" s="43"/>
      <c r="AW38" s="38"/>
      <c r="AX38" s="37"/>
      <c r="AY38" s="37"/>
      <c r="AZ38" s="37"/>
      <c r="BA38" s="37"/>
      <c r="BB38" s="37"/>
      <c r="BC38" s="38"/>
      <c r="BD38" s="38"/>
      <c r="BE38" s="37"/>
      <c r="BF38" s="38"/>
      <c r="BG38" s="37"/>
      <c r="BH38" s="38"/>
      <c r="BI38" s="44"/>
    </row>
    <row r="39" spans="2:68" s="4" customFormat="1" ht="11" customHeight="1" x14ac:dyDescent="0.3">
      <c r="C39" s="1"/>
      <c r="D39" s="6">
        <f ca="1">SUM(D26:INDIRECT(ADDRESS(ROW()-2,COLUMN(),4,1)))</f>
        <v>0</v>
      </c>
      <c r="F39" s="28">
        <f ca="1">SUM(F26:INDIRECT(ADDRESS(ROW()-2,COLUMN(),4,1)))/5</f>
        <v>0</v>
      </c>
      <c r="G39" s="1"/>
      <c r="H39" s="28">
        <f ca="1">SUM(H26:INDIRECT(ADDRESS(ROW()-2,COLUMN(),4,1)))/5</f>
        <v>0</v>
      </c>
      <c r="I39" s="1"/>
      <c r="J39" s="28">
        <f ca="1">SUM(J26:INDIRECT(ADDRESS(ROW()-2,COLUMN(),4,1)))/5</f>
        <v>0</v>
      </c>
      <c r="L39" s="33" t="str">
        <f t="array" aca="1" ref="L39" ca="1">IFERROR(INDEX($A$8:$DG$8, MATCH(0, COUNTIF($L$25:L38, $A$8:$DG$8&amp;"") + IF($A$8:$DG$8="",1,0), 0)), "")</f>
        <v/>
      </c>
      <c r="N39" s="6" t="str">
        <f t="shared" ca="1" si="47"/>
        <v/>
      </c>
      <c r="P39" s="1" t="str">
        <f t="shared" ca="1" si="48"/>
        <v/>
      </c>
      <c r="Q39" s="1"/>
      <c r="R39" s="1" t="str">
        <f t="shared" ca="1" si="49"/>
        <v/>
      </c>
      <c r="T39" s="1" t="str">
        <f t="shared" ca="1" si="50"/>
        <v/>
      </c>
      <c r="V39" s="1" t="str">
        <f t="shared" ca="1" si="51"/>
        <v/>
      </c>
      <c r="X39" s="6"/>
      <c r="Z39" s="1"/>
      <c r="AB39" s="6"/>
      <c r="AI39" s="1"/>
      <c r="AJ39" s="1"/>
      <c r="AL39" s="1"/>
      <c r="AN39" s="1"/>
      <c r="AP39" s="1"/>
      <c r="AQ39" s="1"/>
      <c r="AR39" s="1"/>
      <c r="AS39" s="1"/>
      <c r="AT39" s="1"/>
      <c r="AU39" s="1"/>
      <c r="AV39" s="1"/>
      <c r="AW39" s="1"/>
      <c r="AX39" s="1"/>
      <c r="AY39" s="1"/>
      <c r="AZ39" s="1"/>
      <c r="BA39" s="1"/>
      <c r="BB39" s="1"/>
      <c r="BC39" s="1"/>
      <c r="BD39" s="1"/>
      <c r="BE39" s="1"/>
      <c r="BF39" s="1"/>
      <c r="BG39" s="1"/>
      <c r="BH39" s="1"/>
      <c r="BI39" s="1"/>
    </row>
    <row r="40" spans="2:68" s="4" customFormat="1" ht="11" customHeight="1" x14ac:dyDescent="0.3">
      <c r="B40" s="1"/>
      <c r="C40" s="1"/>
      <c r="F40" s="1"/>
      <c r="G40" s="1"/>
      <c r="H40" s="1"/>
      <c r="I40" s="1"/>
      <c r="J40" s="21"/>
      <c r="L40" s="33" t="str">
        <f t="array" aca="1" ref="L40" ca="1">IFERROR(INDEX($A$8:$DG$8, MATCH(0, COUNTIF($L$25:L39, $A$8:$DG$8&amp;"") + IF($A$8:$DG$8="",1,0), 0)), "")</f>
        <v/>
      </c>
      <c r="N40" s="6" t="str">
        <f t="shared" ca="1" si="47"/>
        <v/>
      </c>
      <c r="P40" s="1" t="str">
        <f t="shared" ca="1" si="48"/>
        <v/>
      </c>
      <c r="Q40" s="1"/>
      <c r="R40" s="1" t="str">
        <f t="shared" ca="1" si="49"/>
        <v/>
      </c>
      <c r="T40" s="1" t="str">
        <f t="shared" ca="1" si="50"/>
        <v/>
      </c>
      <c r="V40" s="1" t="str">
        <f t="shared" ca="1" si="51"/>
        <v/>
      </c>
      <c r="X40" s="6"/>
      <c r="Z40" s="1"/>
      <c r="AB40" s="6"/>
      <c r="AI40" s="1"/>
      <c r="AJ40" s="1"/>
      <c r="AL40" s="1"/>
      <c r="AN40" s="1"/>
      <c r="AP40" s="1"/>
      <c r="AQ40" s="1"/>
      <c r="AR40" s="1"/>
      <c r="AS40" s="1"/>
      <c r="AT40" s="1"/>
      <c r="AU40" s="1"/>
      <c r="AV40" s="1"/>
      <c r="AW40" s="1"/>
      <c r="AX40" s="1"/>
      <c r="AY40" s="1"/>
      <c r="AZ40" s="1"/>
      <c r="BA40" s="1"/>
      <c r="BB40" s="1"/>
      <c r="BC40" s="1"/>
      <c r="BD40" s="1"/>
      <c r="BE40" s="1"/>
      <c r="BF40" s="1"/>
      <c r="BG40" s="1"/>
      <c r="BH40" s="1"/>
      <c r="BI40" s="1"/>
    </row>
    <row r="41" spans="2:68" ht="11" customHeight="1" x14ac:dyDescent="0.3">
      <c r="D41" s="4"/>
      <c r="E41" s="4"/>
      <c r="J41" s="4"/>
      <c r="K41" s="4"/>
      <c r="L41" s="33" t="str">
        <f t="array" aca="1" ref="L41" ca="1">IFERROR(INDEX($A$8:$DG$8, MATCH(0, COUNTIF($L$25:L40, $A$8:$DG$8&amp;"") + IF($A$8:$DG$8="",1,0), 0)), "")</f>
        <v/>
      </c>
      <c r="M41" s="4"/>
      <c r="N41" s="6" t="str">
        <f t="shared" ca="1" si="47"/>
        <v/>
      </c>
      <c r="O41" s="4"/>
      <c r="P41" s="1" t="str">
        <f t="shared" ca="1" si="48"/>
        <v/>
      </c>
      <c r="R41" s="1" t="str">
        <f t="shared" ca="1" si="49"/>
        <v/>
      </c>
      <c r="S41" s="4"/>
      <c r="T41" s="1" t="str">
        <f t="shared" ca="1" si="50"/>
        <v/>
      </c>
      <c r="U41" s="4"/>
      <c r="V41" s="1" t="str">
        <f t="shared" ca="1" si="51"/>
        <v/>
      </c>
      <c r="W41" s="4"/>
      <c r="X41" s="6"/>
      <c r="Y41" s="4"/>
      <c r="AB41" s="6"/>
      <c r="AG41" s="4"/>
      <c r="AH41" s="4"/>
      <c r="AK41" s="4"/>
      <c r="AM41" s="4"/>
      <c r="AO41" s="4"/>
    </row>
    <row r="42" spans="2:68" ht="11" customHeight="1" x14ac:dyDescent="0.3">
      <c r="D42" s="4"/>
      <c r="E42" s="4"/>
      <c r="J42" s="4"/>
      <c r="K42" s="4"/>
      <c r="L42" s="33" t="str">
        <f t="array" aca="1" ref="L42" ca="1">IFERROR(INDEX($A$8:$DG$8, MATCH(0, COUNTIF($L$25:L41, $A$8:$DG$8&amp;"") + IF($A$8:$DG$8="",1,0), 0)), "")</f>
        <v/>
      </c>
      <c r="M42" s="4"/>
      <c r="N42" s="6" t="str">
        <f t="shared" ca="1" si="47"/>
        <v/>
      </c>
      <c r="O42" s="4"/>
      <c r="P42" s="1" t="str">
        <f t="shared" ca="1" si="48"/>
        <v/>
      </c>
      <c r="R42" s="1" t="str">
        <f t="shared" ca="1" si="49"/>
        <v/>
      </c>
      <c r="S42" s="4"/>
      <c r="T42" s="1" t="str">
        <f t="shared" ca="1" si="50"/>
        <v/>
      </c>
      <c r="U42" s="4"/>
      <c r="V42" s="1" t="str">
        <f t="shared" ca="1" si="51"/>
        <v/>
      </c>
      <c r="W42" s="4"/>
      <c r="Y42" s="4"/>
      <c r="AB42" s="6"/>
      <c r="AD42" s="4"/>
      <c r="AE42" s="4"/>
      <c r="AF42" s="4"/>
      <c r="AG42" s="4"/>
      <c r="AH42" s="4"/>
      <c r="AK42" s="4"/>
      <c r="AM42" s="4"/>
      <c r="AO42" s="4"/>
      <c r="BL42" s="4"/>
      <c r="BN42" s="6"/>
      <c r="BO42" s="4"/>
      <c r="BP42" s="17"/>
    </row>
    <row r="43" spans="2:68" ht="14" customHeight="1" x14ac:dyDescent="0.3">
      <c r="D43" s="4"/>
      <c r="E43" s="4"/>
      <c r="J43" s="4"/>
      <c r="K43" s="4"/>
      <c r="L43" s="33" t="str">
        <f t="array" aca="1" ref="L43" ca="1">IFERROR(INDEX($A$8:$DG$8, MATCH(0, COUNTIF($L$25:L42, $A$8:$DG$8&amp;"") + IF($A$8:$DG$8="",1,0), 0)), "")</f>
        <v/>
      </c>
      <c r="M43" s="4"/>
      <c r="N43" s="6" t="str">
        <f t="shared" ca="1" si="47"/>
        <v/>
      </c>
      <c r="O43" s="4"/>
      <c r="P43" s="1" t="str">
        <f t="shared" ca="1" si="48"/>
        <v/>
      </c>
      <c r="R43" s="1" t="str">
        <f t="shared" ca="1" si="49"/>
        <v/>
      </c>
      <c r="S43" s="4"/>
      <c r="T43" s="1" t="str">
        <f t="shared" ca="1" si="50"/>
        <v/>
      </c>
      <c r="U43" s="4"/>
      <c r="V43" s="1" t="str">
        <f t="shared" ca="1" si="51"/>
        <v/>
      </c>
      <c r="W43" s="4"/>
      <c r="Y43" s="4"/>
      <c r="AB43" s="6"/>
      <c r="AD43" s="4"/>
      <c r="AE43" s="4"/>
      <c r="AF43" s="4"/>
      <c r="AG43" s="4"/>
      <c r="AH43" s="4"/>
      <c r="AK43" s="4"/>
      <c r="AM43" s="4"/>
      <c r="AO43" s="4"/>
    </row>
    <row r="44" spans="2:68" ht="14" customHeight="1" x14ac:dyDescent="0.3">
      <c r="D44" s="4"/>
      <c r="E44" s="4"/>
      <c r="J44" s="4"/>
      <c r="K44" s="4"/>
      <c r="L44" s="33" t="str">
        <f t="array" aca="1" ref="L44" ca="1">IFERROR(INDEX($A$8:$DG$8, MATCH(0, COUNTIF($L$25:L43, $A$8:$DG$8&amp;"") + IF($A$8:$DG$8="",1,0), 0)), "")</f>
        <v/>
      </c>
      <c r="M44" s="4"/>
      <c r="N44" s="6" t="str">
        <f t="shared" ca="1" si="47"/>
        <v/>
      </c>
      <c r="O44" s="4"/>
      <c r="P44" s="1" t="str">
        <f t="shared" ca="1" si="48"/>
        <v/>
      </c>
      <c r="R44" s="1" t="str">
        <f t="shared" ca="1" si="49"/>
        <v/>
      </c>
      <c r="S44" s="4"/>
      <c r="T44" s="1" t="str">
        <f t="shared" ca="1" si="50"/>
        <v/>
      </c>
      <c r="U44" s="4"/>
      <c r="V44" s="1" t="str">
        <f t="shared" ca="1" si="51"/>
        <v/>
      </c>
      <c r="W44" s="4"/>
      <c r="Y44" s="4"/>
      <c r="AB44" s="6"/>
      <c r="AD44" s="4"/>
      <c r="AE44" s="4"/>
      <c r="AF44" s="4"/>
      <c r="AG44" s="4"/>
      <c r="AH44" s="4"/>
      <c r="AK44" s="4"/>
      <c r="AM44" s="4"/>
      <c r="AO44" s="4"/>
    </row>
    <row r="45" spans="2:68" ht="14" customHeight="1" x14ac:dyDescent="0.3">
      <c r="D45" s="4"/>
      <c r="E45" s="4"/>
      <c r="J45" s="4"/>
      <c r="K45" s="4"/>
      <c r="L45" s="33" t="str">
        <f t="array" aca="1" ref="L45" ca="1">IFERROR(INDEX($A$8:$DG$8, MATCH(0, COUNTIF($L$25:L44, $A$8:$DG$8&amp;"") + IF($A$8:$DG$8="",1,0), 0)), "")</f>
        <v/>
      </c>
      <c r="M45" s="4"/>
      <c r="N45" s="6" t="str">
        <f t="shared" ca="1" si="47"/>
        <v/>
      </c>
      <c r="O45" s="4"/>
      <c r="P45" s="1" t="str">
        <f t="shared" ca="1" si="48"/>
        <v/>
      </c>
      <c r="R45" s="1" t="str">
        <f t="shared" ca="1" si="49"/>
        <v/>
      </c>
      <c r="S45" s="4"/>
      <c r="T45" s="1" t="str">
        <f t="shared" ca="1" si="50"/>
        <v/>
      </c>
      <c r="U45" s="4"/>
      <c r="V45" s="1" t="str">
        <f t="shared" ca="1" si="51"/>
        <v/>
      </c>
      <c r="W45" s="4"/>
      <c r="Y45" s="4"/>
      <c r="AB45" s="6"/>
      <c r="AD45" s="4"/>
      <c r="AE45" s="4"/>
      <c r="AF45" s="4"/>
      <c r="AG45" s="4"/>
      <c r="AH45" s="4"/>
      <c r="AK45" s="4"/>
      <c r="AM45" s="4"/>
      <c r="AO45" s="4"/>
      <c r="BF45"/>
    </row>
    <row r="46" spans="2:68" ht="14" customHeight="1" x14ac:dyDescent="0.3">
      <c r="D46" s="4"/>
      <c r="E46" s="4"/>
      <c r="J46" s="4"/>
      <c r="K46" s="4"/>
      <c r="L46" s="33" t="str">
        <f t="array" aca="1" ref="L46" ca="1">IFERROR(INDEX($A$8:$DG$8, MATCH(0, COUNTIF($L$25:L45, $A$8:$DG$8&amp;"") + IF($A$8:$DG$8="",1,0), 0)), "")</f>
        <v/>
      </c>
      <c r="M46" s="4"/>
      <c r="N46" s="6" t="str">
        <f t="shared" ca="1" si="47"/>
        <v/>
      </c>
      <c r="O46" s="4"/>
      <c r="P46" s="1" t="str">
        <f t="shared" ca="1" si="48"/>
        <v/>
      </c>
      <c r="R46" s="1" t="str">
        <f t="shared" ca="1" si="49"/>
        <v/>
      </c>
      <c r="S46" s="4"/>
      <c r="T46" s="1" t="str">
        <f t="shared" ca="1" si="50"/>
        <v/>
      </c>
      <c r="U46" s="4"/>
      <c r="V46" s="1" t="str">
        <f t="shared" ca="1" si="51"/>
        <v/>
      </c>
      <c r="W46" s="4"/>
      <c r="Y46" s="4"/>
      <c r="AB46" s="6"/>
      <c r="AD46" s="4"/>
      <c r="AE46" s="4"/>
      <c r="AF46" s="4"/>
      <c r="AG46" s="4"/>
      <c r="AH46" s="4"/>
      <c r="AK46" s="4"/>
      <c r="AM46" s="4"/>
      <c r="AO46" s="4"/>
      <c r="BF46"/>
    </row>
    <row r="47" spans="2:68" ht="14" customHeight="1" x14ac:dyDescent="0.3">
      <c r="D47" s="4"/>
      <c r="E47" s="4"/>
      <c r="J47" s="4"/>
      <c r="K47" s="4"/>
      <c r="L47" s="33" t="str">
        <f t="array" aca="1" ref="L47" ca="1">IFERROR(INDEX($A$8:$DG$8, MATCH(0, COUNTIF($L$25:L46, $A$8:$DG$8&amp;"") + IF($A$8:$DG$8="",1,0), 0)), "")</f>
        <v/>
      </c>
      <c r="M47" s="4"/>
      <c r="N47" s="6" t="str">
        <f t="shared" ca="1" si="47"/>
        <v/>
      </c>
      <c r="O47" s="4"/>
      <c r="P47" s="1" t="str">
        <f t="shared" ca="1" si="48"/>
        <v/>
      </c>
      <c r="R47" s="1" t="str">
        <f t="shared" ca="1" si="49"/>
        <v/>
      </c>
      <c r="S47" s="4"/>
      <c r="T47" s="1" t="str">
        <f t="shared" ca="1" si="50"/>
        <v/>
      </c>
      <c r="U47" s="4"/>
      <c r="V47" s="1" t="str">
        <f t="shared" ca="1" si="51"/>
        <v/>
      </c>
      <c r="W47" s="4"/>
      <c r="Y47" s="4"/>
      <c r="AB47" s="6"/>
      <c r="AD47" s="4"/>
      <c r="AE47" s="4"/>
      <c r="AF47" s="4"/>
      <c r="AG47" s="4"/>
      <c r="AH47" s="4"/>
      <c r="AK47" s="4"/>
      <c r="AM47" s="4"/>
      <c r="AO47" s="4"/>
      <c r="BF47"/>
    </row>
    <row r="48" spans="2:68" ht="14" customHeight="1" x14ac:dyDescent="0.3">
      <c r="K48" s="4"/>
      <c r="L48" s="33" t="str">
        <f t="array" aca="1" ref="L48" ca="1">IFERROR(INDEX($A$8:$DG$8, MATCH(0, COUNTIF($L$25:L47, $A$8:$DG$8&amp;"") + IF($A$8:$DG$8="",1,0), 0)), "")</f>
        <v/>
      </c>
      <c r="M48" s="4"/>
      <c r="N48" s="6" t="str">
        <f t="shared" ca="1" si="47"/>
        <v/>
      </c>
      <c r="O48" s="4"/>
      <c r="P48" s="1" t="str">
        <f t="shared" ca="1" si="48"/>
        <v/>
      </c>
      <c r="R48" s="1" t="str">
        <f t="shared" ca="1" si="49"/>
        <v/>
      </c>
      <c r="S48" s="4"/>
      <c r="T48" s="1" t="str">
        <f t="shared" ca="1" si="50"/>
        <v/>
      </c>
      <c r="U48" s="4"/>
      <c r="V48" s="1" t="str">
        <f t="shared" ca="1" si="51"/>
        <v/>
      </c>
      <c r="W48" s="4"/>
      <c r="Y48" s="4"/>
      <c r="AB48" s="6"/>
      <c r="AD48" s="4"/>
      <c r="AE48" s="4"/>
      <c r="AF48" s="4"/>
      <c r="AG48" s="4"/>
      <c r="AH48" s="4"/>
      <c r="AK48" s="4"/>
      <c r="AM48" s="4"/>
      <c r="AO48" s="4"/>
      <c r="BF48"/>
    </row>
    <row r="49" spans="11:58" x14ac:dyDescent="0.3">
      <c r="K49" s="4"/>
      <c r="L49" s="33" t="str">
        <f t="array" aca="1" ref="L49" ca="1">IFERROR(INDEX($A$8:$DG$8, MATCH(0, COUNTIF($L$25:L48, $A$8:$DG$8&amp;"") + IF($A$8:$DG$8="",1,0), 0)), "")</f>
        <v/>
      </c>
      <c r="M49" s="4"/>
      <c r="N49" s="1" t="s">
        <v>39</v>
      </c>
      <c r="O49" s="4"/>
      <c r="P49" s="1" t="s">
        <v>39</v>
      </c>
      <c r="Q49" s="4"/>
      <c r="R49" s="1" t="s">
        <v>39</v>
      </c>
      <c r="S49" s="4"/>
      <c r="T49" s="1" t="s">
        <v>39</v>
      </c>
      <c r="U49" s="4"/>
      <c r="V49" s="1" t="s">
        <v>39</v>
      </c>
      <c r="W49" s="4"/>
      <c r="X49" s="1" t="s">
        <v>39</v>
      </c>
      <c r="Y49" s="4"/>
      <c r="Z49" s="1" t="s">
        <v>39</v>
      </c>
      <c r="AB49" s="1" t="s">
        <v>39</v>
      </c>
      <c r="AD49" s="4"/>
      <c r="AE49" s="4"/>
      <c r="AF49" s="4"/>
      <c r="AG49" s="4"/>
      <c r="AH49" s="4"/>
      <c r="AK49" s="4"/>
      <c r="AM49" s="4"/>
      <c r="AO49" s="4"/>
      <c r="BF49"/>
    </row>
    <row r="50" spans="11:58" x14ac:dyDescent="0.3">
      <c r="K50" s="4"/>
      <c r="M50" s="4"/>
      <c r="N50" s="4"/>
      <c r="P50" s="4"/>
      <c r="R50" s="4"/>
      <c r="T50" s="4"/>
      <c r="V50" s="4"/>
      <c r="W50" s="4"/>
      <c r="Y50" s="4"/>
      <c r="Z50" s="6"/>
      <c r="AB50" s="6"/>
      <c r="AD50" s="4"/>
      <c r="AE50" s="4"/>
      <c r="AF50" s="4"/>
      <c r="AG50" s="4"/>
      <c r="AH50" s="4"/>
      <c r="AK50" s="4"/>
      <c r="AM50" s="4"/>
      <c r="AO50" s="4"/>
      <c r="BF50"/>
    </row>
    <row r="51" spans="11:58" x14ac:dyDescent="0.3">
      <c r="M51" s="4"/>
      <c r="AB51" s="6"/>
      <c r="AD51" s="4"/>
      <c r="AE51" s="4"/>
      <c r="AF51" s="4"/>
      <c r="AG51" s="4"/>
      <c r="AI51" s="4"/>
      <c r="AK51" s="4"/>
      <c r="AM51" s="4"/>
      <c r="AO51" s="4"/>
      <c r="AQ51" s="4"/>
      <c r="AS51" s="4"/>
      <c r="AU51" s="4"/>
      <c r="AW51" s="4"/>
      <c r="AY51" s="4"/>
      <c r="AZ51" s="6"/>
      <c r="BF51"/>
    </row>
    <row r="52" spans="11:58" x14ac:dyDescent="0.3">
      <c r="M52" s="4"/>
      <c r="O52" s="4"/>
      <c r="Q52" s="4"/>
      <c r="S52" s="4"/>
      <c r="U52" s="4"/>
      <c r="W52" s="4"/>
      <c r="Y52" s="4"/>
      <c r="Z52" s="6"/>
      <c r="AB52" s="6"/>
      <c r="AD52" s="4"/>
      <c r="AE52" s="4"/>
      <c r="AF52" s="4"/>
      <c r="AG52" s="4"/>
      <c r="AI52" s="4"/>
      <c r="AK52" s="4"/>
      <c r="AM52" s="4"/>
      <c r="AO52" s="4"/>
      <c r="AQ52" s="4"/>
      <c r="AS52" s="4"/>
      <c r="AU52" s="4"/>
      <c r="AW52" s="4"/>
      <c r="AY52" s="4"/>
      <c r="AZ52" s="6"/>
      <c r="BF52"/>
    </row>
    <row r="53" spans="11:58" x14ac:dyDescent="0.3">
      <c r="M53" s="4"/>
      <c r="O53" s="4"/>
      <c r="Q53" s="4"/>
      <c r="S53" s="4"/>
      <c r="U53" s="4"/>
      <c r="W53" s="4"/>
      <c r="AB53" s="6"/>
      <c r="AD53" s="4"/>
      <c r="AE53" s="4"/>
      <c r="AF53" s="4"/>
      <c r="AG53" s="4"/>
      <c r="AI53" s="4"/>
      <c r="AK53" s="4"/>
      <c r="AM53" s="4"/>
      <c r="AO53" s="4"/>
      <c r="AQ53" s="4"/>
      <c r="AS53" s="4"/>
      <c r="AU53" s="4"/>
      <c r="AW53" s="4"/>
      <c r="AY53" s="4"/>
      <c r="AZ53" s="6"/>
      <c r="BF53"/>
    </row>
    <row r="54" spans="11:58" x14ac:dyDescent="0.3">
      <c r="N54" s="4"/>
      <c r="O54" s="4"/>
      <c r="P54" s="4"/>
      <c r="Q54" s="4"/>
      <c r="R54" s="4"/>
      <c r="Z54" s="4"/>
      <c r="AA54" s="4"/>
      <c r="AB54" s="7"/>
      <c r="AC54" s="4"/>
      <c r="AD54" s="4"/>
      <c r="AG54" s="4"/>
      <c r="AI54" s="4"/>
      <c r="AK54" s="4"/>
      <c r="AM54" s="4"/>
      <c r="AO54" s="4"/>
      <c r="AQ54" s="4"/>
      <c r="AS54" s="4"/>
      <c r="AU54" s="4"/>
      <c r="AW54" s="4"/>
      <c r="AY54" s="4"/>
      <c r="AZ54" s="6"/>
      <c r="BF54"/>
    </row>
    <row r="55" spans="11:58" x14ac:dyDescent="0.3">
      <c r="N55" s="4"/>
      <c r="O55" s="4"/>
      <c r="P55" s="4"/>
      <c r="Q55" s="4"/>
      <c r="R55" s="4"/>
      <c r="Z55" s="4"/>
      <c r="AA55" s="4"/>
      <c r="AB55" s="7"/>
      <c r="AC55" s="4"/>
      <c r="AD55" s="4"/>
      <c r="AG55" s="4"/>
      <c r="AI55" s="4"/>
      <c r="AK55" s="4"/>
      <c r="AM55" s="4"/>
      <c r="AO55" s="4"/>
      <c r="AQ55" s="4"/>
      <c r="AS55" s="4"/>
      <c r="AU55" s="4"/>
      <c r="AW55" s="4"/>
      <c r="AY55" s="4"/>
      <c r="AZ55" s="6"/>
      <c r="BF55"/>
    </row>
    <row r="56" spans="11:58" x14ac:dyDescent="0.3">
      <c r="N56" s="4"/>
      <c r="O56" s="4"/>
      <c r="P56" s="4"/>
      <c r="Q56" s="4"/>
      <c r="R56" s="4"/>
      <c r="Z56" s="4"/>
      <c r="AA56" s="4"/>
      <c r="AB56" s="7"/>
      <c r="AC56" s="4"/>
      <c r="AD56" s="4"/>
      <c r="AG56" s="4"/>
      <c r="AI56" s="4"/>
      <c r="AK56" s="4"/>
      <c r="AM56" s="4"/>
      <c r="AO56" s="4"/>
      <c r="AQ56" s="4"/>
      <c r="AS56" s="4"/>
      <c r="AU56" s="4"/>
      <c r="AW56" s="4"/>
      <c r="AY56" s="4"/>
      <c r="AZ56" s="6"/>
      <c r="BF56"/>
    </row>
    <row r="57" spans="11:58" x14ac:dyDescent="0.3">
      <c r="N57" s="4"/>
      <c r="O57" s="4"/>
      <c r="P57" s="4"/>
      <c r="Q57" s="4"/>
      <c r="R57" s="4"/>
      <c r="Z57" s="4"/>
      <c r="AA57" s="4"/>
      <c r="AB57" s="4"/>
      <c r="AC57" s="4"/>
      <c r="AD57" s="4"/>
      <c r="AG57" s="4"/>
      <c r="AI57" s="4"/>
      <c r="AK57" s="4"/>
      <c r="AM57" s="4"/>
      <c r="AO57" s="4"/>
      <c r="AQ57" s="4"/>
      <c r="AS57" s="4"/>
      <c r="AU57" s="4"/>
      <c r="AW57" s="4"/>
      <c r="AY57" s="4"/>
      <c r="AZ57" s="6"/>
      <c r="BF57"/>
    </row>
    <row r="58" spans="11:58" x14ac:dyDescent="0.3">
      <c r="N58" s="4"/>
      <c r="O58" s="4"/>
      <c r="P58" s="4"/>
      <c r="Q58" s="4"/>
      <c r="R58" s="4"/>
      <c r="Z58" s="4"/>
      <c r="AA58" s="4"/>
      <c r="AB58" s="4"/>
      <c r="AC58" s="4"/>
      <c r="AD58" s="4"/>
      <c r="AG58" s="4"/>
      <c r="AI58" s="4"/>
      <c r="AK58" s="4"/>
      <c r="AM58" s="4"/>
      <c r="AO58" s="4"/>
      <c r="AQ58" s="4"/>
      <c r="AS58" s="4"/>
      <c r="AU58" s="4"/>
      <c r="AW58" s="4"/>
      <c r="AY58" s="4"/>
      <c r="AZ58" s="6"/>
      <c r="BF58"/>
    </row>
    <row r="59" spans="11:58" x14ac:dyDescent="0.3">
      <c r="N59" s="4"/>
      <c r="O59" s="4"/>
      <c r="P59" s="4"/>
      <c r="Q59" s="4"/>
      <c r="R59" s="4"/>
      <c r="Z59" s="4"/>
      <c r="AA59" s="4"/>
      <c r="AB59" s="4"/>
      <c r="AC59" s="4"/>
      <c r="AD59" s="4"/>
      <c r="AG59" s="4"/>
      <c r="AI59" s="4"/>
      <c r="AK59" s="4"/>
      <c r="AM59" s="4"/>
      <c r="AO59" s="4"/>
      <c r="AQ59" s="4"/>
      <c r="AS59" s="4"/>
      <c r="AU59" s="4"/>
      <c r="AW59" s="4"/>
      <c r="AY59" s="4"/>
      <c r="AZ59" s="6"/>
      <c r="BF59"/>
    </row>
    <row r="60" spans="11:58" x14ac:dyDescent="0.3">
      <c r="N60" s="4"/>
      <c r="O60" s="4"/>
      <c r="P60" s="4"/>
      <c r="Q60" s="4"/>
      <c r="R60" s="4"/>
      <c r="Z60" s="4"/>
      <c r="AA60" s="4"/>
      <c r="AB60" s="4"/>
      <c r="AC60" s="4"/>
      <c r="AD60" s="4"/>
      <c r="AG60" s="4"/>
      <c r="AI60" s="4"/>
      <c r="AK60" s="4"/>
      <c r="AM60" s="4"/>
      <c r="AO60" s="4"/>
      <c r="AQ60" s="4"/>
      <c r="AS60" s="4"/>
      <c r="AU60" s="4"/>
      <c r="AW60" s="4"/>
      <c r="AY60" s="4"/>
      <c r="AZ60" s="6"/>
      <c r="BF60"/>
    </row>
    <row r="61" spans="11:58" x14ac:dyDescent="0.3">
      <c r="N61" s="4"/>
      <c r="O61" s="4"/>
      <c r="P61" s="4"/>
      <c r="Q61" s="4"/>
      <c r="R61" s="4"/>
      <c r="Z61" s="4"/>
      <c r="AA61" s="4"/>
      <c r="AB61" s="4"/>
      <c r="AC61" s="4"/>
      <c r="AD61" s="4"/>
      <c r="AG61" s="4"/>
      <c r="AI61" s="4"/>
      <c r="AK61" s="4"/>
      <c r="AM61" s="4"/>
      <c r="AO61" s="4"/>
      <c r="AQ61" s="4"/>
      <c r="AS61" s="4"/>
      <c r="AU61" s="4"/>
      <c r="AW61" s="4"/>
      <c r="AY61" s="4"/>
      <c r="AZ61" s="6"/>
      <c r="BF61"/>
    </row>
    <row r="62" spans="11:58" x14ac:dyDescent="0.3">
      <c r="N62" s="4"/>
      <c r="O62" s="4"/>
      <c r="P62" s="4"/>
      <c r="Q62" s="4"/>
      <c r="R62" s="4"/>
      <c r="Z62" s="4"/>
      <c r="AA62" s="4"/>
      <c r="AB62" s="4"/>
      <c r="AC62" s="4"/>
      <c r="AD62" s="4"/>
      <c r="AG62" s="4"/>
      <c r="AI62" s="4"/>
      <c r="AK62" s="4"/>
      <c r="AM62" s="4"/>
      <c r="AO62" s="4"/>
      <c r="AQ62" s="4"/>
      <c r="AS62" s="4"/>
      <c r="AU62" s="4"/>
      <c r="AW62" s="4"/>
      <c r="AY62" s="4"/>
      <c r="AZ62" s="6"/>
      <c r="BF62"/>
    </row>
    <row r="63" spans="11:58" x14ac:dyDescent="0.3">
      <c r="N63" s="4"/>
      <c r="O63" s="4"/>
      <c r="P63" s="4"/>
      <c r="Q63" s="4"/>
      <c r="R63" s="4"/>
      <c r="Z63" s="4"/>
      <c r="AA63" s="4"/>
      <c r="AB63" s="4"/>
      <c r="AC63" s="4"/>
      <c r="AD63" s="4"/>
      <c r="AG63" s="4"/>
      <c r="AI63" s="4"/>
      <c r="AK63" s="4"/>
      <c r="AM63" s="4"/>
      <c r="AO63" s="4"/>
      <c r="AQ63" s="4"/>
      <c r="AS63" s="4"/>
      <c r="AU63" s="4"/>
      <c r="AW63" s="4"/>
      <c r="AY63" s="4"/>
      <c r="AZ63" s="6"/>
      <c r="BF63"/>
    </row>
    <row r="64" spans="11:58" x14ac:dyDescent="0.3">
      <c r="N64" s="4"/>
      <c r="O64" s="4"/>
      <c r="P64" s="4"/>
      <c r="Q64" s="4"/>
      <c r="R64" s="4"/>
      <c r="Z64" s="4"/>
      <c r="AA64" s="4"/>
      <c r="AB64" s="4"/>
      <c r="AC64" s="4"/>
      <c r="AD64" s="4"/>
      <c r="AG64" s="4"/>
      <c r="AI64" s="4"/>
      <c r="AK64" s="4"/>
      <c r="AM64" s="4"/>
      <c r="AO64" s="4"/>
      <c r="AQ64" s="4"/>
      <c r="AS64" s="4"/>
      <c r="AU64" s="4"/>
      <c r="AW64" s="4"/>
      <c r="AY64" s="4"/>
      <c r="AZ64" s="6"/>
      <c r="BF64"/>
    </row>
    <row r="65" spans="14:58" x14ac:dyDescent="0.3">
      <c r="N65" s="4"/>
      <c r="O65" s="4"/>
      <c r="P65" s="4"/>
      <c r="Q65" s="4"/>
      <c r="R65" s="4"/>
      <c r="Z65" s="4"/>
      <c r="AA65" s="4"/>
      <c r="AB65" s="4"/>
      <c r="AC65" s="4"/>
      <c r="AD65" s="4"/>
      <c r="AG65" s="4"/>
      <c r="AI65" s="4"/>
      <c r="AK65" s="4"/>
      <c r="AM65" s="4"/>
      <c r="AO65" s="4"/>
      <c r="AQ65" s="4"/>
      <c r="AS65" s="4"/>
      <c r="AU65" s="4"/>
      <c r="AW65" s="4"/>
      <c r="AY65" s="4"/>
      <c r="AZ65" s="6"/>
      <c r="BF65"/>
    </row>
    <row r="66" spans="14:58" x14ac:dyDescent="0.3">
      <c r="N66" s="4"/>
      <c r="O66" s="4"/>
      <c r="P66" s="4"/>
      <c r="Q66" s="4"/>
      <c r="R66" s="4"/>
      <c r="Z66" s="4"/>
      <c r="AA66" s="4"/>
      <c r="AB66" s="4"/>
      <c r="AC66" s="4"/>
      <c r="AD66" s="4"/>
      <c r="AG66" s="4"/>
      <c r="AI66" s="4"/>
      <c r="AK66" s="4"/>
      <c r="AM66" s="4"/>
      <c r="AO66" s="4"/>
      <c r="AQ66" s="4"/>
      <c r="AS66" s="4"/>
      <c r="AU66" s="4"/>
      <c r="AW66" s="4"/>
      <c r="AY66" s="4"/>
      <c r="AZ66" s="6"/>
      <c r="BF66"/>
    </row>
    <row r="67" spans="14:58" x14ac:dyDescent="0.3">
      <c r="N67" s="4"/>
      <c r="O67" s="4"/>
      <c r="P67" s="4"/>
      <c r="Q67" s="4"/>
      <c r="R67" s="4"/>
      <c r="Z67" s="4"/>
      <c r="AA67" s="4"/>
      <c r="AB67" s="4"/>
      <c r="AC67" s="4"/>
      <c r="AD67" s="4"/>
      <c r="AG67" s="4"/>
      <c r="AI67" s="4"/>
      <c r="AK67" s="4"/>
      <c r="AM67" s="4"/>
      <c r="AO67" s="4"/>
      <c r="AQ67" s="4"/>
      <c r="AS67" s="4"/>
      <c r="AU67" s="4"/>
      <c r="AW67" s="4"/>
      <c r="AY67" s="4"/>
      <c r="AZ67" s="6"/>
      <c r="BF67"/>
    </row>
    <row r="68" spans="14:58" x14ac:dyDescent="0.3">
      <c r="N68" s="4"/>
      <c r="O68" s="4"/>
      <c r="P68" s="4"/>
      <c r="Q68" s="4"/>
      <c r="R68" s="4"/>
      <c r="Z68" s="4"/>
      <c r="AA68" s="4"/>
      <c r="AB68" s="4"/>
      <c r="AC68" s="4"/>
      <c r="AD68" s="4"/>
    </row>
    <row r="69" spans="14:58" x14ac:dyDescent="0.3">
      <c r="N69" s="4"/>
      <c r="O69" s="4"/>
      <c r="P69" s="4"/>
      <c r="Q69" s="4"/>
      <c r="R69" s="4"/>
      <c r="Z69" s="4"/>
      <c r="AA69" s="4"/>
      <c r="AB69" s="4"/>
      <c r="AC69" s="4"/>
      <c r="AD69" s="4"/>
    </row>
    <row r="70" spans="14:58" x14ac:dyDescent="0.3">
      <c r="N70" s="4"/>
      <c r="O70" s="4"/>
      <c r="P70" s="4"/>
      <c r="Q70" s="4"/>
      <c r="R70" s="4"/>
      <c r="Z70" s="4"/>
      <c r="AA70" s="4"/>
      <c r="AB70" s="4"/>
      <c r="AC70" s="4"/>
      <c r="AD70" s="4"/>
    </row>
  </sheetData>
  <phoneticPr fontId="1" type="noConversion"/>
  <conditionalFormatting sqref="AP26:AP37 AR26:AR37 AT26:AT37 AV26:AV37 AX26:AX37 AZ26:AZ37 BB26:BB37 BD26:BD37 BF26:BF37 BH26:BH37">
    <cfRule type="expression" dxfId="0" priority="5">
      <formula>IF($AN26&gt;100,FALSE,IF((COLUMN()-40)*5-5&lt;$AN26,TRUE,FALSE))</formula>
    </cfRule>
  </conditionalFormatting>
  <dataValidations count="1">
    <dataValidation type="list" allowBlank="1" showDropDown="1" showInputMessage="1" showErrorMessage="1" sqref="AH26 CB8 BP8 BN8 BL8 BJ8 BH8 BF8 BV8 AZ8 BD8 AX8 AV8 AT8 AR8 AP8 AN8 AL8 AH8 AF8 AJ8 AD8 AB8 Z8 X8 V8 T8 R8 BB8 P8 N8 L8 J8 BR8 F8 D8 B8 BX8 BT8 BZ8 H8" xr:uid="{B1148227-71FC-413B-8E70-7327A62B9518}">
      <formula1>$B$26:$B$37</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BB9D5-889C-4A61-8AD8-98B67AB0FF0C}">
  <sheetPr codeName="גיליון4">
    <pageSetUpPr autoPageBreaks="0"/>
  </sheetPr>
  <dimension ref="A1:S70"/>
  <sheetViews>
    <sheetView rightToLeft="1" zoomScaleNormal="100" workbookViewId="0">
      <selection sqref="A1:G22"/>
    </sheetView>
  </sheetViews>
  <sheetFormatPr defaultColWidth="9" defaultRowHeight="14" x14ac:dyDescent="0.3"/>
  <cols>
    <col min="1" max="1" width="8.4140625" style="1" customWidth="1"/>
    <col min="2" max="2" width="19.33203125" style="1" customWidth="1"/>
    <col min="3" max="3" width="17" style="1" customWidth="1"/>
    <col min="4" max="4" width="21" style="1" customWidth="1"/>
    <col min="5" max="5" width="16.5" style="1" customWidth="1"/>
    <col min="6" max="6" width="21.5" style="1" customWidth="1"/>
    <col min="7" max="7" width="8.4140625" style="1" customWidth="1"/>
    <col min="8" max="8" width="2.6640625" style="1" customWidth="1"/>
    <col min="9" max="9" width="10.08203125" style="1" customWidth="1"/>
    <col min="10" max="10" width="5.58203125" style="1" customWidth="1"/>
    <col min="11" max="11" width="9.83203125" style="1" customWidth="1"/>
    <col min="12" max="12" width="9" style="1"/>
    <col min="13" max="16" width="4.08203125" style="4" customWidth="1"/>
    <col min="17" max="17" width="4.08203125" style="1" customWidth="1"/>
    <col min="18" max="16384" width="9" style="1"/>
  </cols>
  <sheetData>
    <row r="1" spans="1:17" x14ac:dyDescent="0.3">
      <c r="A1" s="89"/>
      <c r="B1" s="93"/>
      <c r="C1" s="93"/>
      <c r="D1" s="95"/>
      <c r="E1" s="90"/>
      <c r="F1" s="91"/>
      <c r="G1" s="89"/>
      <c r="I1" s="4" t="s">
        <v>32</v>
      </c>
      <c r="J1" s="88" t="s">
        <v>61</v>
      </c>
      <c r="K1" t="s">
        <v>73</v>
      </c>
      <c r="L1" s="1">
        <f>A1</f>
        <v>0</v>
      </c>
    </row>
    <row r="2" spans="1:17" x14ac:dyDescent="0.3">
      <c r="A2" s="89"/>
      <c r="B2" s="93"/>
      <c r="C2" s="93"/>
      <c r="D2" s="95"/>
      <c r="E2" s="90"/>
      <c r="F2" s="91"/>
      <c r="G2" s="89"/>
      <c r="I2" s="4" t="s">
        <v>33</v>
      </c>
      <c r="J2" s="88" t="s">
        <v>62</v>
      </c>
      <c r="K2" t="s">
        <v>74</v>
      </c>
      <c r="L2" s="1">
        <f>G1</f>
        <v>0</v>
      </c>
      <c r="Q2" s="4"/>
    </row>
    <row r="3" spans="1:17" x14ac:dyDescent="0.3">
      <c r="A3" s="89"/>
      <c r="B3" s="93"/>
      <c r="C3" s="93"/>
      <c r="D3" s="95"/>
      <c r="E3" s="90"/>
      <c r="F3" s="91"/>
      <c r="G3" s="89"/>
      <c r="I3" s="4" t="s">
        <v>38</v>
      </c>
      <c r="J3" s="88" t="s">
        <v>63</v>
      </c>
      <c r="K3" t="s">
        <v>75</v>
      </c>
      <c r="L3" s="1">
        <f>B12</f>
        <v>0</v>
      </c>
      <c r="Q3" s="4"/>
    </row>
    <row r="4" spans="1:17" x14ac:dyDescent="0.3">
      <c r="A4" s="89"/>
      <c r="B4" s="93"/>
      <c r="C4" s="93"/>
      <c r="D4" s="95"/>
      <c r="E4" s="90"/>
      <c r="F4" s="91"/>
      <c r="G4" s="89"/>
      <c r="I4" s="4" t="s">
        <v>46</v>
      </c>
      <c r="J4" s="88" t="s">
        <v>64</v>
      </c>
      <c r="K4" t="s">
        <v>76</v>
      </c>
      <c r="L4" s="1">
        <f>F12</f>
        <v>0</v>
      </c>
    </row>
    <row r="5" spans="1:17" x14ac:dyDescent="0.3">
      <c r="A5" s="89"/>
      <c r="B5" s="93"/>
      <c r="C5" s="93"/>
      <c r="D5" s="88"/>
      <c r="E5" s="90"/>
      <c r="F5" s="91"/>
      <c r="G5" s="89"/>
      <c r="I5" s="4" t="s">
        <v>1</v>
      </c>
      <c r="J5" s="88" t="s">
        <v>65</v>
      </c>
      <c r="K5" t="s">
        <v>77</v>
      </c>
      <c r="L5" s="1">
        <f>D14</f>
        <v>0</v>
      </c>
    </row>
    <row r="6" spans="1:17" x14ac:dyDescent="0.3">
      <c r="A6" s="89"/>
      <c r="B6" s="93"/>
      <c r="C6" s="94"/>
      <c r="D6" s="89"/>
      <c r="E6" s="93"/>
      <c r="F6" s="91"/>
      <c r="G6" s="89"/>
      <c r="I6" s="4" t="s">
        <v>34</v>
      </c>
      <c r="J6" s="88" t="s">
        <v>66</v>
      </c>
      <c r="K6" t="s">
        <v>78</v>
      </c>
      <c r="L6" s="1">
        <f>B1</f>
        <v>0</v>
      </c>
    </row>
    <row r="7" spans="1:17" x14ac:dyDescent="0.3">
      <c r="A7" s="89"/>
      <c r="B7" s="93"/>
      <c r="D7" s="89"/>
      <c r="F7" s="91"/>
      <c r="G7" s="89"/>
      <c r="I7" s="4" t="s">
        <v>35</v>
      </c>
      <c r="J7" s="88" t="s">
        <v>67</v>
      </c>
      <c r="K7" t="s">
        <v>79</v>
      </c>
      <c r="L7" s="1">
        <f>F1</f>
        <v>0</v>
      </c>
    </row>
    <row r="8" spans="1:17" x14ac:dyDescent="0.3">
      <c r="A8" s="89"/>
      <c r="B8" s="93"/>
      <c r="D8" s="89"/>
      <c r="F8" s="91"/>
      <c r="G8" s="89"/>
      <c r="I8" s="4" t="s">
        <v>36</v>
      </c>
      <c r="J8" s="88" t="s">
        <v>68</v>
      </c>
      <c r="K8" t="s">
        <v>80</v>
      </c>
      <c r="L8" s="1">
        <f>C9</f>
        <v>0</v>
      </c>
    </row>
    <row r="9" spans="1:17" x14ac:dyDescent="0.3">
      <c r="A9" s="89"/>
      <c r="C9" s="90"/>
      <c r="D9" s="88"/>
      <c r="E9" s="90"/>
      <c r="G9" s="89"/>
      <c r="I9" s="4" t="s">
        <v>0</v>
      </c>
      <c r="J9" s="88" t="s">
        <v>69</v>
      </c>
      <c r="K9" t="s">
        <v>81</v>
      </c>
      <c r="L9" s="1">
        <f>E9</f>
        <v>0</v>
      </c>
    </row>
    <row r="10" spans="1:17" x14ac:dyDescent="0.3">
      <c r="A10" s="89"/>
      <c r="C10" s="91"/>
      <c r="D10" s="92"/>
      <c r="E10" s="90"/>
      <c r="G10" s="89"/>
      <c r="I10" s="4" t="s">
        <v>58</v>
      </c>
      <c r="J10" s="88" t="s">
        <v>70</v>
      </c>
      <c r="K10" t="s">
        <v>82</v>
      </c>
      <c r="L10" s="1">
        <f>D10</f>
        <v>0</v>
      </c>
    </row>
    <row r="11" spans="1:17" x14ac:dyDescent="0.3">
      <c r="A11" s="88"/>
      <c r="C11" s="91"/>
      <c r="D11" s="92"/>
      <c r="E11" s="90"/>
      <c r="F11" s="27"/>
      <c r="G11" s="88"/>
      <c r="I11" s="4" t="s">
        <v>2</v>
      </c>
      <c r="J11" s="88" t="s">
        <v>71</v>
      </c>
      <c r="K11" t="s">
        <v>83</v>
      </c>
      <c r="L11" s="1">
        <f>C1</f>
        <v>0</v>
      </c>
    </row>
    <row r="12" spans="1:17" x14ac:dyDescent="0.3">
      <c r="A12" s="88"/>
      <c r="B12" s="90"/>
      <c r="D12" s="89"/>
      <c r="F12" s="90"/>
      <c r="G12" s="88"/>
      <c r="I12" s="4" t="s">
        <v>57</v>
      </c>
      <c r="J12" s="88" t="s">
        <v>72</v>
      </c>
      <c r="K12" t="s">
        <v>84</v>
      </c>
      <c r="L12" s="1">
        <f>E1</f>
        <v>0</v>
      </c>
    </row>
    <row r="13" spans="1:17" x14ac:dyDescent="0.3">
      <c r="A13" s="88"/>
      <c r="B13" s="90"/>
      <c r="D13" s="89"/>
      <c r="F13" s="90"/>
      <c r="G13" s="88"/>
      <c r="K13" t="s">
        <v>85</v>
      </c>
      <c r="L13" s="1">
        <f>D6</f>
        <v>0</v>
      </c>
    </row>
    <row r="14" spans="1:17" x14ac:dyDescent="0.3">
      <c r="A14" s="88"/>
      <c r="B14" s="90"/>
      <c r="D14" s="89"/>
      <c r="F14" s="90"/>
      <c r="G14" s="88"/>
      <c r="K14" t="s">
        <v>86</v>
      </c>
      <c r="L14" s="1">
        <f>D1</f>
        <v>0</v>
      </c>
    </row>
    <row r="15" spans="1:17" x14ac:dyDescent="0.3">
      <c r="A15" s="88"/>
      <c r="B15" s="90"/>
      <c r="D15" s="89"/>
      <c r="F15" s="90"/>
      <c r="G15" s="88"/>
      <c r="I15" s="88"/>
    </row>
    <row r="16" spans="1:17" x14ac:dyDescent="0.3">
      <c r="A16" s="88"/>
      <c r="B16" s="90"/>
      <c r="D16" s="89"/>
      <c r="F16" s="90"/>
      <c r="G16" s="88"/>
    </row>
    <row r="17" spans="1:11" x14ac:dyDescent="0.3">
      <c r="A17" s="88"/>
      <c r="B17" s="90"/>
      <c r="D17" s="89"/>
      <c r="F17" s="90"/>
      <c r="G17" s="88"/>
    </row>
    <row r="18" spans="1:11" x14ac:dyDescent="0.3">
      <c r="A18" s="88"/>
      <c r="B18" s="90"/>
      <c r="D18" s="89"/>
      <c r="F18" s="90"/>
      <c r="G18" s="88"/>
      <c r="I18" s="88"/>
    </row>
    <row r="19" spans="1:11" x14ac:dyDescent="0.3">
      <c r="A19" s="88"/>
      <c r="B19" s="90"/>
      <c r="C19" s="27"/>
      <c r="D19" s="89"/>
      <c r="F19" s="90"/>
      <c r="G19" s="88"/>
      <c r="K19" s="1" t="str">
        <f>CONCATENATE($B$1,$C$9,$D$10,$E$9,$F$1,$C$1,$D$6,$E$1,$D$1)</f>
        <v/>
      </c>
    </row>
    <row r="20" spans="1:11" x14ac:dyDescent="0.3">
      <c r="A20" s="88"/>
      <c r="B20" s="90"/>
      <c r="D20" s="89"/>
      <c r="F20" s="90"/>
      <c r="G20" s="88"/>
      <c r="K20" s="88" t="str">
        <f>CONCATENATE($A$1,$B$12,$D$14,$F$12,$G$1)</f>
        <v/>
      </c>
    </row>
    <row r="21" spans="1:11" x14ac:dyDescent="0.3">
      <c r="A21" s="88"/>
      <c r="D21" s="89"/>
      <c r="G21" s="88"/>
      <c r="I21" s="88"/>
    </row>
    <row r="22" spans="1:11" x14ac:dyDescent="0.3">
      <c r="A22" s="88"/>
      <c r="D22" s="88"/>
      <c r="G22" s="88"/>
      <c r="I22" s="88"/>
    </row>
    <row r="23" spans="1:11" x14ac:dyDescent="0.3">
      <c r="A23" s="88"/>
      <c r="C23" s="27"/>
      <c r="D23" s="88"/>
      <c r="G23" s="88"/>
      <c r="I23" s="88"/>
    </row>
    <row r="24" spans="1:11" x14ac:dyDescent="0.3">
      <c r="A24" s="88"/>
      <c r="C24" s="88"/>
      <c r="D24" s="88"/>
      <c r="G24" s="88"/>
      <c r="I24" s="88"/>
    </row>
    <row r="25" spans="1:11" x14ac:dyDescent="0.3">
      <c r="A25" s="88"/>
      <c r="D25" s="88"/>
      <c r="G25" s="88"/>
      <c r="I25" s="88"/>
    </row>
    <row r="26" spans="1:11" x14ac:dyDescent="0.3">
      <c r="A26" s="88"/>
      <c r="C26" s="88"/>
      <c r="D26" s="88"/>
      <c r="G26" s="88"/>
      <c r="I26" s="88"/>
    </row>
    <row r="27" spans="1:11" x14ac:dyDescent="0.3">
      <c r="A27" s="88"/>
      <c r="C27" s="27"/>
      <c r="D27" s="88"/>
      <c r="G27" s="88"/>
      <c r="I27" s="88"/>
    </row>
    <row r="28" spans="1:11" x14ac:dyDescent="0.3">
      <c r="A28" s="88"/>
      <c r="C28" s="27"/>
      <c r="D28" s="88"/>
      <c r="G28" s="88"/>
      <c r="I28" s="88"/>
    </row>
    <row r="29" spans="1:11" x14ac:dyDescent="0.3">
      <c r="A29" s="88"/>
      <c r="C29" s="27"/>
      <c r="D29" s="88"/>
      <c r="G29" s="88"/>
      <c r="I29" s="88"/>
    </row>
    <row r="30" spans="1:11" x14ac:dyDescent="0.3">
      <c r="A30" s="88"/>
      <c r="C30" s="88"/>
      <c r="D30" s="88"/>
      <c r="G30" s="88"/>
      <c r="I30" s="88"/>
    </row>
    <row r="31" spans="1:11" x14ac:dyDescent="0.3">
      <c r="A31" s="88"/>
      <c r="D31" s="88"/>
      <c r="G31" s="88"/>
      <c r="I31" s="88"/>
    </row>
    <row r="32" spans="1:11" ht="6" customHeight="1" x14ac:dyDescent="0.3">
      <c r="A32" s="88"/>
    </row>
    <row r="33" spans="1:6" x14ac:dyDescent="0.3">
      <c r="C33" s="88"/>
      <c r="F33" s="88"/>
    </row>
    <row r="34" spans="1:6" x14ac:dyDescent="0.3">
      <c r="C34" s="88"/>
      <c r="F34" s="88"/>
    </row>
    <row r="35" spans="1:6" x14ac:dyDescent="0.3">
      <c r="C35" s="88"/>
    </row>
    <row r="36" spans="1:6" x14ac:dyDescent="0.3">
      <c r="C36" s="88"/>
    </row>
    <row r="37" spans="1:6" x14ac:dyDescent="0.3">
      <c r="C37" s="88"/>
    </row>
    <row r="45" spans="1:6" x14ac:dyDescent="0.3">
      <c r="A45" s="88"/>
    </row>
    <row r="46" spans="1:6" x14ac:dyDescent="0.3">
      <c r="A46" s="88"/>
    </row>
    <row r="47" spans="1:6" x14ac:dyDescent="0.3">
      <c r="A47" s="88"/>
    </row>
    <row r="48" spans="1:6" x14ac:dyDescent="0.3">
      <c r="A48" s="88"/>
    </row>
    <row r="49" spans="1:19" x14ac:dyDescent="0.3">
      <c r="A49" s="88"/>
    </row>
    <row r="50" spans="1:19" x14ac:dyDescent="0.3">
      <c r="A50" s="88"/>
    </row>
    <row r="51" spans="1:19" x14ac:dyDescent="0.3">
      <c r="A51" s="88"/>
    </row>
    <row r="52" spans="1:19" x14ac:dyDescent="0.3">
      <c r="A52" s="88"/>
    </row>
    <row r="53" spans="1:19" x14ac:dyDescent="0.3">
      <c r="A53" s="88"/>
    </row>
    <row r="54" spans="1:19" x14ac:dyDescent="0.3">
      <c r="A54" s="88"/>
    </row>
    <row r="55" spans="1:19" x14ac:dyDescent="0.3">
      <c r="A55" s="88"/>
    </row>
    <row r="56" spans="1:19" x14ac:dyDescent="0.3">
      <c r="A56" s="88"/>
    </row>
    <row r="57" spans="1:19" x14ac:dyDescent="0.3">
      <c r="A57" s="88"/>
    </row>
    <row r="58" spans="1:19" x14ac:dyDescent="0.3">
      <c r="A58" s="88"/>
    </row>
    <row r="59" spans="1:19" x14ac:dyDescent="0.3">
      <c r="A59" s="88"/>
    </row>
    <row r="60" spans="1:19" x14ac:dyDescent="0.3">
      <c r="A60" s="88"/>
    </row>
    <row r="61" spans="1:19" x14ac:dyDescent="0.3">
      <c r="A61" s="88"/>
    </row>
    <row r="62" spans="1:19" x14ac:dyDescent="0.3">
      <c r="A62" s="88"/>
    </row>
    <row r="63" spans="1:19" x14ac:dyDescent="0.3">
      <c r="A63" s="88"/>
      <c r="S63" s="9"/>
    </row>
    <row r="64" spans="1:19" x14ac:dyDescent="0.3">
      <c r="A64" s="88"/>
    </row>
    <row r="65" spans="1:1" x14ac:dyDescent="0.3">
      <c r="A65" s="88"/>
    </row>
    <row r="66" spans="1:1" x14ac:dyDescent="0.3">
      <c r="A66" s="88"/>
    </row>
    <row r="67" spans="1:1" x14ac:dyDescent="0.3">
      <c r="A67" s="88"/>
    </row>
    <row r="68" spans="1:1" x14ac:dyDescent="0.3">
      <c r="A68" s="88"/>
    </row>
    <row r="69" spans="1:1" x14ac:dyDescent="0.3">
      <c r="A69" s="88"/>
    </row>
    <row r="70" spans="1:1" x14ac:dyDescent="0.3">
      <c r="A70" s="88"/>
    </row>
  </sheetData>
  <mergeCells count="14">
    <mergeCell ref="B12:B20"/>
    <mergeCell ref="F12:F20"/>
    <mergeCell ref="D14:D21"/>
    <mergeCell ref="A1:A10"/>
    <mergeCell ref="B1:B8"/>
    <mergeCell ref="C1:C6"/>
    <mergeCell ref="D1:D4"/>
    <mergeCell ref="E1:E6"/>
    <mergeCell ref="F1:F8"/>
    <mergeCell ref="G1:G10"/>
    <mergeCell ref="D6:D8"/>
    <mergeCell ref="C9:C11"/>
    <mergeCell ref="E9:E11"/>
    <mergeCell ref="D10:D13"/>
  </mergeCells>
  <pageMargins left="0.7" right="0.7" top="0.75" bottom="0.75" header="0.3" footer="0.3"/>
  <pageSetup paperSize="9" orientation="portrait" r:id="rId1"/>
  <headerFooter>
    <oddHeader>&amp;C&amp;G</oddHeader>
  </headerFooter>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A6BC714-6440-4C9A-B66D-508A83AC33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3</vt:i4>
      </vt:variant>
      <vt:variant>
        <vt:lpstr>טווחים בעלי שם</vt:lpstr>
      </vt:variant>
      <vt:variant>
        <vt:i4>6</vt:i4>
      </vt:variant>
    </vt:vector>
  </HeadingPairs>
  <TitlesOfParts>
    <vt:vector size="9" baseType="lpstr">
      <vt:lpstr>גיליון1</vt:lpstr>
      <vt:lpstr>גיליון2</vt:lpstr>
      <vt:lpstr>גיליון 3</vt:lpstr>
      <vt:lpstr>גיליון1!הסתר</vt:lpstr>
      <vt:lpstr>חלוקה</vt:lpstr>
      <vt:lpstr>'גיליון 3'!טווחים</vt:lpstr>
      <vt:lpstr>גיליון1!להסתיר</vt:lpstr>
      <vt:lpstr>גיליון1!נעול</vt:lpstr>
      <vt:lpstr>גיליון1!צבע</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Zach</dc:creator>
  <cp:lastModifiedBy>tzach kopito</cp:lastModifiedBy>
  <dcterms:created xsi:type="dcterms:W3CDTF">2015-06-05T18:17:20Z</dcterms:created>
  <dcterms:modified xsi:type="dcterms:W3CDTF">2026-05-07T15:17:43Z</dcterms:modified>
</cp:coreProperties>
</file>